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8.xml" ContentType="application/vnd.ms-excel.controlproperties+xml"/>
  <Override PartName="/xl/slicers/slicer1.xml" ContentType="application/vnd.ms-excel.slicer+xml"/>
  <Override PartName="/xl/drawings/drawing3.xml" ContentType="application/vnd.openxmlformats-officedocument.drawing+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sylvi\Desktop\programming for business analytics\coursework2\"/>
    </mc:Choice>
  </mc:AlternateContent>
  <xr:revisionPtr revIDLastSave="0" documentId="13_ncr:1_{2B960D45-A864-4E85-B9F6-615D63834D3D}" xr6:coauthVersionLast="47" xr6:coauthVersionMax="47" xr10:uidLastSave="{00000000-0000-0000-0000-000000000000}"/>
  <bookViews>
    <workbookView xWindow="0" yWindow="0" windowWidth="22560" windowHeight="14320" firstSheet="3" activeTab="8" xr2:uid="{0AA2FDA8-D16F-4ED5-9C4E-24E79557C863}"/>
  </bookViews>
  <sheets>
    <sheet name="InvestorSummary" sheetId="213" r:id="rId1"/>
    <sheet name="InvestorAssetDiversity" sheetId="212" r:id="rId2"/>
    <sheet name="AssetSummary" sheetId="211" r:id="rId3"/>
    <sheet name="Portfolios" sheetId="210" r:id="rId4"/>
    <sheet name="AssetTypes" sheetId="209" r:id="rId5"/>
    <sheet name="Investors" sheetId="208" r:id="rId6"/>
    <sheet name="InvestDataSummary" sheetId="44" r:id="rId7"/>
    <sheet name="InvestorDetails" sheetId="165" r:id="rId8"/>
    <sheet name="NewInvestments" sheetId="20" r:id="rId9"/>
  </sheets>
  <functionGroups builtInGroupCount="19"/>
  <definedNames>
    <definedName name="Slicer_Investor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<sst xmlns="http://schemas.openxmlformats.org/spreadsheetml/2006/main" count="272" uniqueCount="72">
  <si>
    <t>TypeName</t>
  </si>
  <si>
    <t>Cryptocurrency</t>
  </si>
  <si>
    <t>Stocks</t>
  </si>
  <si>
    <t>Mutual Funds</t>
  </si>
  <si>
    <t>Real Estate</t>
  </si>
  <si>
    <t>Commodities</t>
  </si>
  <si>
    <t>Forex</t>
  </si>
  <si>
    <t>Bonds</t>
  </si>
  <si>
    <t>Savings Accounts</t>
  </si>
  <si>
    <t>InvestorID</t>
  </si>
  <si>
    <t>InvestorName</t>
  </si>
  <si>
    <t>AssetTypeDiversity</t>
  </si>
  <si>
    <t>Mason Lee</t>
  </si>
  <si>
    <t>Emma Wilson</t>
  </si>
  <si>
    <t>Sophia Martinez</t>
  </si>
  <si>
    <t>Olivia Taylor</t>
  </si>
  <si>
    <t>Noah Roberts</t>
  </si>
  <si>
    <t>Liam Johnson</t>
  </si>
  <si>
    <t>EmailAddress</t>
  </si>
  <si>
    <t>sophiamartinez@qmul.ac.uk</t>
  </si>
  <si>
    <t>noahroberts@qmul.ac.uk</t>
  </si>
  <si>
    <t>masonlee@qmul.ac.uk</t>
  </si>
  <si>
    <t>oliviataylor@qmul.ac.uk</t>
  </si>
  <si>
    <t>emmawilson@qmul.ac.uk</t>
  </si>
  <si>
    <t>liamjohnson@qmul.ac.uk</t>
  </si>
  <si>
    <t>AssetTypeID</t>
  </si>
  <si>
    <t>PortfolioID</t>
  </si>
  <si>
    <t>InvestmentAmount</t>
  </si>
  <si>
    <t>InvestDate</t>
  </si>
  <si>
    <t>ProductName</t>
  </si>
  <si>
    <t>YieldRate</t>
  </si>
  <si>
    <t>Apple Inc.</t>
  </si>
  <si>
    <t>UK Government Bond 2025</t>
  </si>
  <si>
    <t>Gold Futures</t>
  </si>
  <si>
    <t>GBP/USD Pair</t>
  </si>
  <si>
    <t>HSBC High Yield Account</t>
  </si>
  <si>
    <t>Downtown Office Real Estate</t>
  </si>
  <si>
    <t>Microsoft Corp.</t>
  </si>
  <si>
    <t>Vanguard 500 Index Fund</t>
  </si>
  <si>
    <t>Brent Crude Oil Futures</t>
  </si>
  <si>
    <t>Residential Property in Shanghai</t>
  </si>
  <si>
    <t>Nationalwide Savings Plan</t>
  </si>
  <si>
    <t>Tesla Inc.</t>
  </si>
  <si>
    <t>Ethereum</t>
  </si>
  <si>
    <t>USD/CNY Pair</t>
  </si>
  <si>
    <t>UK Government Bond 2027</t>
  </si>
  <si>
    <t>Lloyds High Yield Account</t>
  </si>
  <si>
    <t>William Brown</t>
  </si>
  <si>
    <t>williambrown@qmul.ac.uk</t>
  </si>
  <si>
    <t>Wanke Real Estate in Beijing</t>
  </si>
  <si>
    <t>Sum of InvestmentAmount</t>
  </si>
  <si>
    <t>Average of YieldRate</t>
  </si>
  <si>
    <t>2024</t>
  </si>
  <si>
    <t>2025</t>
  </si>
  <si>
    <t>AssetType_AverageYieldRate</t>
  </si>
  <si>
    <t>Investor_Total Investment</t>
  </si>
  <si>
    <t>Investor_AverageYieldRate</t>
  </si>
  <si>
    <t>AssetType_TotalInvestment</t>
  </si>
  <si>
    <t>2022</t>
  </si>
  <si>
    <t>2023</t>
  </si>
  <si>
    <t>2021</t>
  </si>
  <si>
    <t>2017</t>
  </si>
  <si>
    <t>2018</t>
  </si>
  <si>
    <t>2019</t>
  </si>
  <si>
    <t>Column Labels</t>
  </si>
  <si>
    <t>Row Labels</t>
  </si>
  <si>
    <t>Grand Total</t>
  </si>
  <si>
    <t>sylviagreen@qmul.ac.uk</t>
  </si>
  <si>
    <t>Sylvia Green</t>
  </si>
  <si>
    <t xml:space="preserve">Stocks </t>
  </si>
  <si>
    <t xml:space="preserve"> Real Estate </t>
  </si>
  <si>
    <t xml:space="preserve"> Mutual Funds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</si>
</sst>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quot;£&quot;#,##0.00"/>
    <numFmt numFmtId="164" formatCode="&quot;£&quot;#,##0.00"/>
  </numFmts>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rgb="FF000000"/>
      <name val="Cab"/>
    </font>
    <font>
      <sz val="20"/>
      <color theme="1"/>
      <name val="Aptos Narrow"/>
      <family val="2"/>
      <scheme val="minor"/>
    </font>
    <font>
      <b/>
      <sz val="20"/>
      <color theme="1"/>
      <name val="Aptos Narrow"/>
      <family val="2"/>
      <scheme val="minor"/>
    </font>
    <font>
      <b/>
      <sz val="18"/>
      <color theme="1"/>
      <name val="Aptos Narrow"/>
      <family val="2"/>
      <scheme val="minor"/>
    </font>
    <font>
      <sz val="20"/>
      <name val="Aptos Narrow"/>
      <family val="2"/>
      <scheme val="minor"/>
    </font>
    <font>
      <b/>
      <sz val="18"/>
      <color rgb="FFC00000"/>
      <name val="Aptos Narrow"/>
      <family val="2"/>
      <scheme val="minor"/>
    </font>
    <font>
      <sz val="20"/>
      <color rgb="FFC00000"/>
      <name val="Aptos Narrow"/>
      <family val="2"/>
      <scheme val="minor"/>
    </font>
    <font>
      <sz val="11"/>
      <color rgb="FFC00000"/>
      <name val="Aptos Narrow"/>
      <family val="2"/>
      <scheme val="minor"/>
    </font>
    <font>
      <sz val="11"/>
      <color rgb="FF000000"/>
      <name val="Aptos Narrow"/>
      <family val="2"/>
    </font>
    <font>
      <b/>
      <sz val="11"/>
      <color rgb="FF000000"/>
      <name val="Aptos Narrow"/>
      <family val="2"/>
    </font>
    <font>
      <sz val="20"/>
      <color rgb="FF000000"/>
      <name val="Aptos Narrow"/>
      <family val="2"/>
    </font>
    <font>
      <b/>
      <sz val="20"/>
      <color rgb="FF000000"/>
      <name val="Aptos Narrow"/>
      <family val="2"/>
    </font>
    <font>
      <sz val="11"/>
      <name val="Aptos Narrow"/>
      <family val="2"/>
      <scheme val="minor"/>
    </font>
    <font>
      <sz val="8"/>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49992370372631"/>
        <bgColor indexed="64"/>
      </patternFill>
    </fill>
    <fill>
      <patternFill patternType="solid">
        <fgColor theme="0" tint="-4.9989318521683403E-2"/>
        <bgColor indexed="64"/>
      </patternFill>
    </fill>
  </fills>
  <borders count="4">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s>
  <cellStyleXfs count="2">
    <xf numFmtId="0" fontId="0" fillId="0" borderId="0"/>
    <xf numFmtId="9" fontId="1" fillId="0" borderId="0" applyFont="0" applyFill="0" applyBorder="0" applyAlignment="0" applyProtection="0"/>
  </cellStyleXfs>
  <cellXfs count="69">
    <xf numFmtId="0" fontId="0" fillId="0" borderId="0" xfId="0"/>
    <xf numFmtId="7" fontId="0" fillId="0" borderId="0" xfId="0" applyNumberFormat="1"/>
    <xf numFmtId="14" fontId="0" fillId="0" borderId="0" xfId="0" applyNumberFormat="1"/>
    <xf numFmtId="49" fontId="0" fillId="0" borderId="0" xfId="0" applyNumberFormat="1"/>
    <xf numFmtId="1" fontId="0" fillId="0" borderId="0" xfId="0" applyNumberFormat="1"/>
    <xf numFmtId="164" fontId="0" fillId="0" borderId="0" xfId="0" applyNumberFormat="1"/>
    <xf numFmtId="0" fontId="0" fillId="0" borderId="0" xfId="0" applyAlignment="1">
      <alignment horizont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3" borderId="2" xfId="0" applyFont="1" applyFill="1" applyBorder="1" applyAlignment="1">
      <alignment horizontal="center"/>
    </xf>
    <xf numFmtId="0" fontId="2" fillId="4" borderId="2" xfId="0" applyFont="1" applyFill="1" applyBorder="1" applyAlignment="1">
      <alignment horizontal="center"/>
    </xf>
    <xf numFmtId="0" fontId="2" fillId="5" borderId="2" xfId="0" applyFont="1" applyFill="1" applyBorder="1" applyAlignment="1">
      <alignment horizontal="center"/>
    </xf>
    <xf numFmtId="0" fontId="2" fillId="3" borderId="2" xfId="0" applyFont="1" applyFill="1" applyBorder="1" applyAlignment="1">
      <alignment horizontal="center" vertical="center"/>
    </xf>
    <xf numFmtId="0" fontId="4" fillId="0" borderId="0" xfId="0" applyFont="1"/>
    <xf numFmtId="7" fontId="4" fillId="0" borderId="0" xfId="0" applyNumberFormat="1" applyFont="1"/>
    <xf numFmtId="164" fontId="0" fillId="0" borderId="0" xfId="0" applyNumberFormat="1" applyAlignment="1">
      <alignment horizontal="center"/>
    </xf>
    <xf numFmtId="164" fontId="2" fillId="5" borderId="3" xfId="0" applyNumberFormat="1"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0" fillId="6" borderId="0" xfId="0" applyFill="1"/>
    <xf numFmtId="0" fontId="5" fillId="6" borderId="0" xfId="0" applyFont="1" applyFill="1" applyAlignment="1">
      <alignment horizontal="center"/>
    </xf>
    <xf numFmtId="0" fontId="6" fillId="6" borderId="2" xfId="0" applyFont="1" applyFill="1" applyBorder="1" applyAlignment="1">
      <alignment horizontal="center" vertical="center"/>
    </xf>
    <xf numFmtId="9" fontId="6" fillId="6" borderId="2" xfId="1" applyFont="1" applyFill="1" applyBorder="1" applyAlignment="1">
      <alignment horizontal="center" vertical="center"/>
    </xf>
    <xf numFmtId="0" fontId="8" fillId="6" borderId="2" xfId="0" applyFont="1" applyFill="1" applyBorder="1" applyAlignment="1">
      <alignment horizontal="center" vertical="center"/>
    </xf>
    <xf numFmtId="0" fontId="6" fillId="6" borderId="2" xfId="0" applyFont="1" applyFill="1" applyBorder="1" applyAlignment="1">
      <alignment horizontal="center"/>
    </xf>
    <xf numFmtId="0" fontId="6" fillId="6" borderId="3" xfId="0" applyFont="1" applyFill="1" applyBorder="1" applyAlignment="1">
      <alignment horizontal="center"/>
    </xf>
    <xf numFmtId="0" fontId="7" fillId="6" borderId="0" xfId="0" applyFont="1" applyFill="1" applyAlignment="1">
      <alignment horizontal="center"/>
    </xf>
    <xf numFmtId="0" fontId="4" fillId="6" borderId="0" xfId="0" applyFont="1" applyFill="1" applyAlignment="1">
      <alignment horizontal="center"/>
    </xf>
    <xf numFmtId="7" fontId="4" fillId="6" borderId="0" xfId="0" applyNumberFormat="1" applyFont="1" applyFill="1" applyAlignment="1">
      <alignment horizontal="center"/>
    </xf>
    <xf numFmtId="14" fontId="4" fillId="6" borderId="0" xfId="0" applyNumberFormat="1" applyFont="1" applyFill="1" applyAlignment="1">
      <alignment horizontal="center"/>
    </xf>
    <xf numFmtId="9" fontId="4" fillId="6" borderId="0" xfId="1" applyFont="1" applyFill="1" applyAlignment="1">
      <alignment horizontal="center"/>
    </xf>
    <xf numFmtId="0" fontId="9" fillId="6" borderId="0" xfId="0" applyFont="1" applyFill="1" applyAlignment="1">
      <alignment horizontal="center"/>
    </xf>
    <xf numFmtId="164" fontId="4" fillId="6" borderId="0" xfId="0" applyNumberFormat="1" applyFont="1" applyFill="1" applyAlignment="1">
      <alignment horizontal="center"/>
    </xf>
    <xf numFmtId="0" fontId="4" fillId="0" borderId="0" xfId="0" pivotButton="1" applyFont="1"/>
    <xf numFmtId="0" fontId="4" fillId="0" borderId="0" xfId="0" applyFont="1" applyAlignment="1">
      <alignment horizontal="left" indent="1"/>
    </xf>
    <xf numFmtId="1" fontId="2" fillId="6" borderId="0" xfId="0" applyNumberFormat="1" applyFont="1" applyFill="1" applyAlignment="1">
      <alignment horizontal="center" vertical="center" wrapText="1"/>
    </xf>
    <xf numFmtId="49" fontId="2" fillId="6" borderId="0" xfId="0" applyNumberFormat="1" applyFont="1" applyFill="1" applyAlignment="1">
      <alignment horizontal="center" vertical="center" wrapText="1"/>
    </xf>
    <xf numFmtId="49" fontId="2" fillId="6" borderId="0" xfId="0" applyNumberFormat="1" applyFont="1" applyFill="1" applyAlignment="1">
      <alignment horizontal="center"/>
    </xf>
    <xf numFmtId="164" fontId="2" fillId="6" borderId="0" xfId="0" applyNumberFormat="1" applyFont="1" applyFill="1" applyAlignment="1">
      <alignment horizontal="center" vertical="center" wrapText="1"/>
    </xf>
    <xf numFmtId="14" fontId="2" fillId="6" borderId="0" xfId="0" applyNumberFormat="1" applyFont="1" applyFill="1" applyAlignment="1">
      <alignment horizontal="center" vertical="center" wrapText="1"/>
    </xf>
    <xf numFmtId="1" fontId="0" fillId="6" borderId="0" xfId="0" applyNumberFormat="1" applyFill="1" applyAlignment="1">
      <alignment horizontal="right" vertical="center" wrapText="1"/>
    </xf>
    <xf numFmtId="164" fontId="0" fillId="6" borderId="0" xfId="0" applyNumberFormat="1" applyFill="1" applyAlignment="1">
      <alignment horizontal="right" vertical="center" wrapText="1"/>
    </xf>
    <xf numFmtId="14" fontId="0" fillId="6" borderId="0" xfId="0" applyNumberFormat="1" applyFill="1" applyAlignment="1">
      <alignment horizontal="right" vertical="center" wrapText="1"/>
    </xf>
    <xf numFmtId="1" fontId="0" fillId="6" borderId="0" xfId="0" applyNumberFormat="1" applyFill="1" applyAlignment="1">
      <alignment vertical="center" wrapText="1"/>
    </xf>
    <xf numFmtId="164" fontId="0" fillId="6" borderId="0" xfId="0" applyNumberFormat="1" applyFill="1" applyAlignment="1">
      <alignment vertical="center" wrapText="1"/>
    </xf>
    <xf numFmtId="14" fontId="0" fillId="6" borderId="0" xfId="0" applyNumberFormat="1" applyFill="1" applyAlignment="1">
      <alignment vertical="center" wrapText="1"/>
    </xf>
    <xf numFmtId="9" fontId="0" fillId="6" borderId="0" xfId="0" applyNumberFormat="1" applyFill="1" applyAlignment="1">
      <alignment vertical="center" wrapText="1"/>
    </xf>
    <xf numFmtId="14" fontId="0" fillId="6" borderId="0" xfId="0" applyNumberFormat="1" applyFill="1"/>
    <xf numFmtId="1" fontId="0" fillId="6" borderId="0" xfId="0" applyNumberFormat="1" applyFill="1"/>
    <xf numFmtId="49" fontId="0" fillId="6" borderId="0" xfId="0" applyNumberFormat="1" applyFill="1"/>
    <xf numFmtId="164" fontId="0" fillId="6" borderId="0" xfId="0" applyNumberFormat="1" applyFill="1"/>
    <xf numFmtId="0" fontId="5" fillId="0" borderId="0" xfId="0" applyFont="1" applyAlignment="1">
      <alignment horizontal="center"/>
    </xf>
    <xf numFmtId="0" fontId="4" fillId="0" borderId="0" xfId="0" applyFont="1" applyAlignment="1">
      <alignment vertical="center" wrapText="1"/>
    </xf>
    <xf numFmtId="0" fontId="0" fillId="6" borderId="0" xfId="0" applyFill="1" applyAlignment="1">
      <alignment horizontal="center"/>
    </xf>
    <xf numFmtId="9" fontId="0" fillId="6" borderId="0" xfId="1" applyFont="1" applyFill="1" applyAlignment="1">
      <alignment horizontal="center"/>
    </xf>
    <xf numFmtId="0" fontId="10" fillId="6" borderId="0" xfId="0" applyFont="1" applyFill="1" applyAlignment="1">
      <alignment horizontal="center"/>
    </xf>
    <xf numFmtId="164" fontId="0" fillId="6" borderId="0" xfId="0" applyNumberFormat="1" applyFill="1" applyAlignment="1">
      <alignment horizontal="center"/>
    </xf>
    <xf numFmtId="9" fontId="0" fillId="6" borderId="0" xfId="1" applyFont="1" applyFill="1"/>
    <xf numFmtId="0" fontId="0" fillId="6" borderId="0" xfId="0" applyFill="1" applyProtection="1">
      <protection locked="0"/>
    </xf>
    <xf numFmtId="49" fontId="0" fillId="6" borderId="0" xfId="0" applyNumberFormat="1" applyFill="1" applyAlignment="1">
      <alignment vertical="center" wrapText="1"/>
    </xf>
    <xf numFmtId="0" fontId="15" fillId="0" borderId="0" xfId="0" applyFont="1"/>
    <xf numFmtId="9" fontId="0" fillId="6" borderId="0" xfId="0" applyNumberFormat="1" applyFill="1"/>
    <xf numFmtId="9" fontId="2" fillId="6" borderId="0" xfId="1" applyFont="1" applyFill="1" applyBorder="1" applyAlignment="1">
      <alignment horizontal="center" vertical="center" wrapText="1"/>
    </xf>
    <xf numFmtId="9" fontId="1" fillId="6" borderId="0" xfId="1" applyFont="1" applyFill="1" applyBorder="1" applyAlignment="1">
      <alignment horizontal="right" vertical="center" wrapText="1"/>
    </xf>
    <xf numFmtId="9" fontId="0" fillId="6" borderId="0" xfId="1" applyFont="1" applyFill="1" applyBorder="1"/>
    <xf numFmtId="9" fontId="0" fillId="0" borderId="0" xfId="1" applyFont="1" applyBorder="1"/>
    <xf numFmtId="0" fontId="4" fillId="0" borderId="0" xfId="0" applyFont="1" applyAlignment="1">
      <alignment horizontal="left"/>
    </xf>
    <xf numFmtId="7" fontId="4" fillId="6" borderId="0" xfId="1" applyNumberFormat="1" applyFont="1" applyFill="1" applyAlignment="1">
      <alignment horizontal="center"/>
    </xf>
    <xf numFmtId="0" fontId="4" fillId="0" borderId="0" xfId="0" applyNumberFormat="1" applyFont="1"/>
  </cellXfs>
  <cellStyles count="2">
    <cellStyle name="Normal" xfId="0" builtinId="0"/>
    <cellStyle name="Per cent" xfId="1" builtinId="5"/>
  </cellStyles>
  <dxfs count="46">
    <dxf>
      <fill>
        <patternFill>
          <bgColor rgb="FF90EE90"/>
        </patternFill>
      </fill>
    </dxf>
    <dxf>
      <fill>
        <patternFill>
          <bgColor rgb="FFADD8E6"/>
        </patternFill>
      </fill>
    </dxf>
    <dxf>
      <fill>
        <patternFill>
          <bgColor rgb="FF90EE90"/>
        </patternFill>
      </fill>
    </dxf>
    <dxf>
      <fill>
        <patternFill>
          <bgColor rgb="FFADD8E6"/>
        </patternFill>
      </fill>
    </dxf>
    <dxf>
      <fill>
        <patternFill>
          <bgColor rgb="FF90EE90"/>
        </patternFill>
      </fill>
    </dxf>
    <dxf>
      <fill>
        <patternFill>
          <bgColor rgb="FFADD8E6"/>
        </patternFill>
      </fill>
    </dxf>
    <dxf>
      <fill>
        <patternFill>
          <bgColor rgb="FF90EE90"/>
        </patternFill>
      </fill>
    </dxf>
    <dxf>
      <fill>
        <patternFill>
          <bgColor rgb="FFADD8E6"/>
        </patternFill>
      </fill>
    </dxf>
    <dxf>
      <fill>
        <patternFill>
          <bgColor rgb="FF90EE90"/>
        </patternFill>
      </fill>
    </dxf>
    <dxf>
      <fill>
        <patternFill>
          <bgColor rgb="FFADD8E6"/>
        </patternFill>
      </fill>
    </dxf>
    <dxf>
      <fill>
        <patternFill>
          <bgColor rgb="FF90EE90"/>
        </patternFill>
      </fill>
    </dxf>
    <dxf>
      <fill>
        <patternFill>
          <bgColor rgb="FFADD8E6"/>
        </patternFill>
      </fill>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ill>
        <patternFill>
          <fgColor indexed="64"/>
          <bgColor rgb="FF90EE90"/>
        </patternFill>
      </fill>
    </dxf>
    <dxf>
      <fill>
        <patternFill>
          <fgColor indexed="64"/>
          <bgColor rgb="FF90EE90"/>
        </patternFill>
      </fill>
    </dxf>
    <dxf>
      <fill>
        <patternFill>
          <fgColor indexed="64"/>
          <bgColor rgb="FFADD8E6"/>
        </patternFill>
      </fill>
    </dxf>
    <dxf>
      <fill>
        <patternFill>
          <fgColor indexed="64"/>
          <bgColor rgb="FFADD8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596900</xdr:colOff>
          <xdr:row>5</xdr:row>
          <xdr:rowOff>152400</xdr:rowOff>
        </xdr:from>
        <xdr:to>
          <xdr:col>21</xdr:col>
          <xdr:colOff>336550</xdr:colOff>
          <xdr:row>8</xdr:row>
          <xdr:rowOff>146050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Step2: Clear Data In this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10</xdr:row>
          <xdr:rowOff>107950</xdr:rowOff>
        </xdr:from>
        <xdr:to>
          <xdr:col>21</xdr:col>
          <xdr:colOff>342900</xdr:colOff>
          <xdr:row>13</xdr:row>
          <xdr:rowOff>101600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Step3: Copy Data In Worksheet"Portfolios"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63500</xdr:rowOff>
        </xdr:from>
        <xdr:to>
          <xdr:col>21</xdr:col>
          <xdr:colOff>349250</xdr:colOff>
          <xdr:row>18</xdr:row>
          <xdr:rowOff>57150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Step4: Copy Data In Worksheet"InvestorSummary"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20</xdr:row>
          <xdr:rowOff>12700</xdr:rowOff>
        </xdr:from>
        <xdr:to>
          <xdr:col>21</xdr:col>
          <xdr:colOff>336550</xdr:colOff>
          <xdr:row>23</xdr:row>
          <xdr:rowOff>6350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6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Step5: Copy Data In Worksheet"InvestorAssetDiversity"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xdr:colOff>
          <xdr:row>24</xdr:row>
          <xdr:rowOff>158750</xdr:rowOff>
        </xdr:from>
        <xdr:to>
          <xdr:col>21</xdr:col>
          <xdr:colOff>355600</xdr:colOff>
          <xdr:row>27</xdr:row>
          <xdr:rowOff>152400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6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Step6: Copy Data In Worksheet"AssetSummary"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1</xdr:row>
          <xdr:rowOff>6350</xdr:rowOff>
        </xdr:from>
        <xdr:to>
          <xdr:col>21</xdr:col>
          <xdr:colOff>336550</xdr:colOff>
          <xdr:row>4</xdr:row>
          <xdr:rowOff>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600-00000B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Aptos Narrow"/>
                </a:rPr>
                <a:t>Step1: Import Data Into this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29</xdr:row>
          <xdr:rowOff>114300</xdr:rowOff>
        </xdr:from>
        <xdr:to>
          <xdr:col>21</xdr:col>
          <xdr:colOff>336550</xdr:colOff>
          <xdr:row>32</xdr:row>
          <xdr:rowOff>107950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600-00000C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Step7: Highlight High Yield Investors (&gt;5%) and Top 10% investment investors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206375</xdr:colOff>
      <xdr:row>0</xdr:row>
      <xdr:rowOff>254000</xdr:rowOff>
    </xdr:from>
    <xdr:to>
      <xdr:col>23</xdr:col>
      <xdr:colOff>238125</xdr:colOff>
      <xdr:row>11</xdr:row>
      <xdr:rowOff>0</xdr:rowOff>
    </xdr:to>
    <mc:AlternateContent xmlns:mc="http://schemas.openxmlformats.org/markup-compatibility/2006" xmlns:a14="http://schemas.microsoft.com/office/drawing/2010/main">
      <mc:Choice Requires="a14">
        <xdr:graphicFrame macro="">
          <xdr:nvGraphicFramePr>
            <xdr:cNvPr id="3" name="InvestorName 1">
              <a:extLst>
                <a:ext uri="{FF2B5EF4-FFF2-40B4-BE49-F238E27FC236}">
                  <a16:creationId xmlns:a16="http://schemas.microsoft.com/office/drawing/2014/main" id="{428C969D-5203-4967-B457-A9AB55439CDC}"/>
                </a:ext>
              </a:extLst>
            </xdr:cNvPr>
            <xdr:cNvGraphicFramePr/>
          </xdr:nvGraphicFramePr>
          <xdr:xfrm>
            <a:off x="0" y="0"/>
            <a:ext cx="0" cy="0"/>
          </xdr:xfrm>
          <a:graphic>
            <a:graphicData uri="http://schemas.microsoft.com/office/drawing/2010/slicer">
              <sle:slicer xmlns:sle="http://schemas.microsoft.com/office/drawing/2010/slicer" name="InvestorName 1"/>
            </a:graphicData>
          </a:graphic>
        </xdr:graphicFrame>
      </mc:Choice>
      <mc:Fallback xmlns="">
        <xdr:sp macro="" textlink="">
          <xdr:nvSpPr>
            <xdr:cNvPr id="0" name=""/>
            <xdr:cNvSpPr>
              <a:spLocks noTextEdit="1"/>
            </xdr:cNvSpPr>
          </xdr:nvSpPr>
          <xdr:spPr>
            <a:xfrm>
              <a:off x="30829250" y="254000"/>
              <a:ext cx="2095500" cy="2746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15</xdr:col>
          <xdr:colOff>101600</xdr:colOff>
          <xdr:row>1</xdr:row>
          <xdr:rowOff>101600</xdr:rowOff>
        </xdr:from>
        <xdr:to>
          <xdr:col>15</xdr:col>
          <xdr:colOff>3638550</xdr:colOff>
          <xdr:row>7</xdr:row>
          <xdr:rowOff>139700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000" b="1" i="0" u="none" strike="noStrike" baseline="0">
                  <a:solidFill>
                    <a:srgbClr val="000000"/>
                  </a:solidFill>
                  <a:latin typeface="Aptos Narrow"/>
                </a:rPr>
                <a:t>Step1 : </a:t>
              </a:r>
              <a:endParaRPr lang="en-GB" sz="2000" b="0" i="0" u="none" strike="noStrike" baseline="0">
                <a:solidFill>
                  <a:srgbClr val="000000"/>
                </a:solidFill>
                <a:latin typeface="Aptos Narrow"/>
              </a:endParaRPr>
            </a:p>
            <a:p>
              <a:pPr algn="ctr" rtl="0">
                <a:defRPr sz="1000"/>
              </a:pPr>
              <a:r>
                <a:rPr lang="en-GB" sz="2000" b="0" i="0" u="none" strike="noStrike" baseline="0">
                  <a:solidFill>
                    <a:srgbClr val="000000"/>
                  </a:solidFill>
                  <a:latin typeface="Aptos Narrow"/>
                </a:rPr>
                <a:t>Choose an Investor and See the details of his/her investments</a:t>
              </a:r>
            </a:p>
          </xdr:txBody>
        </xdr:sp>
        <xdr:clientData fPrintsWithSheet="0"/>
      </xdr:twoCellAnchor>
    </mc:Choice>
    <mc:Fallback/>
  </mc:AlternateContent>
  <xdr:twoCellAnchor>
    <xdr:from>
      <xdr:col>16</xdr:col>
      <xdr:colOff>285750</xdr:colOff>
      <xdr:row>1</xdr:row>
      <xdr:rowOff>111126</xdr:rowOff>
    </xdr:from>
    <xdr:to>
      <xdr:col>19</xdr:col>
      <xdr:colOff>317500</xdr:colOff>
      <xdr:row>7</xdr:row>
      <xdr:rowOff>111126</xdr:rowOff>
    </xdr:to>
    <xdr:sp macro="" textlink="">
      <xdr:nvSpPr>
        <xdr:cNvPr id="4" name="TextBox 3">
          <a:extLst>
            <a:ext uri="{FF2B5EF4-FFF2-40B4-BE49-F238E27FC236}">
              <a16:creationId xmlns:a16="http://schemas.microsoft.com/office/drawing/2014/main" id="{849EC10E-61FA-B27F-BA21-FFDE9BE0CA85}"/>
            </a:ext>
          </a:extLst>
        </xdr:cNvPr>
        <xdr:cNvSpPr txBox="1"/>
      </xdr:nvSpPr>
      <xdr:spPr>
        <a:xfrm>
          <a:off x="27035125" y="444501"/>
          <a:ext cx="3302000" cy="1905000"/>
        </a:xfrm>
        <a:prstGeom prst="rect">
          <a:avLst/>
        </a:prstGeom>
        <a:solidFill>
          <a:schemeClr val="bg1">
            <a:lumMod val="95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kern="1200"/>
            <a:t>Step2:</a:t>
          </a:r>
        </a:p>
        <a:p>
          <a:pPr algn="ctr"/>
          <a:r>
            <a:rPr lang="en-GB" sz="2000" kern="1200"/>
            <a:t>Visualize the details in PivotTables</a:t>
          </a:r>
        </a:p>
        <a:p>
          <a:pPr algn="ctr"/>
          <a:r>
            <a:rPr lang="en-GB" sz="2000" kern="1200"/>
            <a:t>(Use the Slicer--</a:t>
          </a:r>
          <a:r>
            <a:rPr lang="en-US" sz="2000" kern="1200"/>
            <a:t>&gt;)</a:t>
          </a:r>
          <a:endParaRPr lang="en-GB" sz="2000" kern="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165100</xdr:colOff>
          <xdr:row>1</xdr:row>
          <xdr:rowOff>50800</xdr:rowOff>
        </xdr:from>
        <xdr:to>
          <xdr:col>11</xdr:col>
          <xdr:colOff>165100</xdr:colOff>
          <xdr:row>3</xdr:row>
          <xdr:rowOff>31750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b"/>
                </a:rPr>
                <a:t>Update Database</a:t>
              </a:r>
            </a:p>
          </xdr:txBody>
        </xdr:sp>
        <xdr:clientData fPrintsWithSheet="0"/>
      </xdr:twoCellAnchor>
    </mc:Choice>
    <mc:Fallback/>
  </mc:AlternateContent>
  <xdr:twoCellAnchor>
    <xdr:from>
      <xdr:col>8</xdr:col>
      <xdr:colOff>114300</xdr:colOff>
      <xdr:row>12</xdr:row>
      <xdr:rowOff>82550</xdr:rowOff>
    </xdr:from>
    <xdr:to>
      <xdr:col>17</xdr:col>
      <xdr:colOff>266700</xdr:colOff>
      <xdr:row>24</xdr:row>
      <xdr:rowOff>19050</xdr:rowOff>
    </xdr:to>
    <xdr:sp macro="" textlink="">
      <xdr:nvSpPr>
        <xdr:cNvPr id="2" name="TextBox 1">
          <a:extLst>
            <a:ext uri="{FF2B5EF4-FFF2-40B4-BE49-F238E27FC236}">
              <a16:creationId xmlns:a16="http://schemas.microsoft.com/office/drawing/2014/main" id="{91842F9B-53D9-D340-58E7-B7D7CF55A073}"/>
            </a:ext>
          </a:extLst>
        </xdr:cNvPr>
        <xdr:cNvSpPr txBox="1"/>
      </xdr:nvSpPr>
      <xdr:spPr>
        <a:xfrm>
          <a:off x="8166100" y="2292350"/>
          <a:ext cx="5638800" cy="21463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kern="1200">
              <a:solidFill>
                <a:schemeClr val="bg1"/>
              </a:solidFill>
            </a:rPr>
            <a:t>Instructions for Data Entry:</a:t>
          </a:r>
        </a:p>
        <a:p>
          <a:r>
            <a:rPr lang="en-GB" sz="1100" kern="1200">
              <a:solidFill>
                <a:schemeClr val="bg1"/>
              </a:solidFill>
            </a:rPr>
            <a:t>- InvestorID: The unique ID of the investor. Must be a number (e.g., 1, 2, 3).  </a:t>
          </a:r>
        </a:p>
        <a:p>
          <a:r>
            <a:rPr lang="en-GB" sz="1100" kern="1200">
              <a:solidFill>
                <a:schemeClr val="bg1"/>
              </a:solidFill>
            </a:rPr>
            <a:t>- InvestorName: The name of the investor. Enter text (e.g., John Doe).  </a:t>
          </a:r>
        </a:p>
        <a:p>
          <a:r>
            <a:rPr lang="en-GB" sz="1100" kern="1200">
              <a:solidFill>
                <a:schemeClr val="bg1"/>
              </a:solidFill>
            </a:rPr>
            <a:t>- EmailAddress: The email address of the investor (e.g., example@email.com).  </a:t>
          </a:r>
        </a:p>
        <a:p>
          <a:r>
            <a:rPr lang="en-GB" sz="1100" kern="1200">
              <a:solidFill>
                <a:schemeClr val="bg1"/>
              </a:solidFill>
            </a:rPr>
            <a:t>- AssetTypeID: The ID of the asset type. Use theabove mapping</a:t>
          </a:r>
        </a:p>
        <a:p>
          <a:r>
            <a:rPr lang="en-GB" sz="1100" kern="1200">
              <a:solidFill>
                <a:schemeClr val="bg1"/>
              </a:solidFill>
            </a:rPr>
            <a:t>- InvestmentAmount: The amount invested. </a:t>
          </a:r>
        </a:p>
        <a:p>
          <a:r>
            <a:rPr lang="en-GB" sz="1100" kern="1200">
              <a:solidFill>
                <a:schemeClr val="bg1"/>
              </a:solidFill>
            </a:rPr>
            <a:t>- InvestDate: The date of the investment. Use the format `</a:t>
          </a:r>
          <a:r>
            <a:rPr lang="en-US" altLang="zh-CN" sz="1100" kern="1200">
              <a:solidFill>
                <a:schemeClr val="bg1"/>
              </a:solidFill>
            </a:rPr>
            <a:t>dd</a:t>
          </a:r>
          <a:r>
            <a:rPr lang="en-GB" sz="1100" kern="1200">
              <a:solidFill>
                <a:schemeClr val="bg1"/>
              </a:solidFill>
            </a:rPr>
            <a:t>/mm/yyyy'.</a:t>
          </a:r>
        </a:p>
        <a:p>
          <a:r>
            <a:rPr lang="en-GB" sz="1100" kern="1200">
              <a:solidFill>
                <a:schemeClr val="bg1"/>
              </a:solidFill>
            </a:rPr>
            <a:t>- ProductName: The name of the investment product (e.g., Microsoft Stock).  </a:t>
          </a:r>
        </a:p>
        <a:p>
          <a:r>
            <a:rPr lang="en-GB" sz="1100" kern="1200">
              <a:solidFill>
                <a:schemeClr val="bg1"/>
              </a:solidFill>
            </a:rPr>
            <a:t>- YieldRate: The return rate of the investment. Enter in percentage format.  </a:t>
          </a:r>
        </a:p>
        <a:p>
          <a:endParaRPr lang="en-GB" sz="1100" kern="1200">
            <a:solidFill>
              <a:schemeClr val="bg1"/>
            </a:solidFill>
          </a:endParaRPr>
        </a:p>
        <a:p>
          <a:r>
            <a:rPr lang="en-GB" sz="1100" kern="1200">
              <a:solidFill>
                <a:schemeClr val="bg1"/>
              </a:solidFill>
            </a:rPr>
            <a:t>Once all the data is entered, </a:t>
          </a:r>
          <a:r>
            <a:rPr lang="en-GB" sz="1100" b="1" kern="1200">
              <a:solidFill>
                <a:schemeClr val="bg1"/>
              </a:solidFill>
            </a:rPr>
            <a:t>click</a:t>
          </a:r>
          <a:r>
            <a:rPr lang="en-GB" sz="1100" kern="1200">
              <a:solidFill>
                <a:schemeClr val="bg1"/>
              </a:solidFill>
            </a:rPr>
            <a:t> the "Update Database" button to save it to the Access database.</a:t>
          </a:r>
        </a:p>
        <a:p>
          <a:endParaRPr lang="en-GB" sz="1100" kern="12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g liu" refreshedDate="45674.556089699072" createdVersion="8" refreshedVersion="8" minRefreshableVersion="3" recordCount="14" xr:uid="{E9CD4B79-DDA2-49D9-AD3D-B56A6A7481A8}">
  <cacheSource type="worksheet">
    <worksheetSource ref="A1:O15" sheet="InvestDataSummary"/>
  </cacheSource>
  <cacheFields count="18">
    <cacheField name="PortfolioID" numFmtId="0">
      <sharedItems containsSemiMixedTypes="0" containsString="0" containsNumber="1" containsInteger="1" minValue="1" maxValue="14"/>
    </cacheField>
    <cacheField name="InvestorID" numFmtId="0">
      <sharedItems containsSemiMixedTypes="0" containsString="0" containsNumber="1" containsInteger="1" minValue="1" maxValue="6"/>
    </cacheField>
    <cacheField name="AssetTypeID" numFmtId="0">
      <sharedItems containsSemiMixedTypes="0" containsString="0" containsNumber="1" containsInteger="1" minValue="1" maxValue="8"/>
    </cacheField>
    <cacheField name="InvestmentAmount" numFmtId="7">
      <sharedItems containsSemiMixedTypes="0" containsString="0" containsNumber="1" containsInteger="1" minValue="8000" maxValue="1560000"/>
    </cacheField>
    <cacheField name="InvestDate" numFmtId="14">
      <sharedItems containsSemiMixedTypes="0" containsNonDate="0" containsDate="1" containsString="0" minDate="2017-12-03T00:00:00" maxDate="2025-01-16T00:00:00" count="14">
        <d v="2023-01-15T00:00:00"/>
        <d v="2022-02-15T00:00:00"/>
        <d v="2024-03-01T00:00:00"/>
        <d v="2022-03-03T00:00:00"/>
        <d v="2021-01-08T00:00:00"/>
        <d v="2017-12-03T00:00:00"/>
        <d v="2024-01-02T00:00:00"/>
        <d v="2024-05-08T00:00:00"/>
        <d v="2025-01-15T00:00:00"/>
        <d v="2018-03-04T00:00:00"/>
        <d v="2019-03-04T00:00:00"/>
        <d v="2024-12-25T00:00:00"/>
        <d v="2022-06-07T00:00:00"/>
        <d v="2023-02-28T00:00:00"/>
      </sharedItems>
      <fieldGroup par="17"/>
    </cacheField>
    <cacheField name="ProductName" numFmtId="0">
      <sharedItems count="14">
        <s v="Apple Inc."/>
        <s v="UK Government Bond 2025"/>
        <s v="Gold Futures"/>
        <s v="GBP/USD Pair"/>
        <s v="HSBC High Yield Account"/>
        <s v="Downtown Office Real Estate"/>
        <s v="Microsoft Corp."/>
        <s v="Vanguard 500 Index Fund"/>
        <s v="Brent Crude Oil Futures"/>
        <s v="Residential Property in Shanghai"/>
        <s v="Nationalwide Savings Plan"/>
        <s v="Tesla Inc."/>
        <s v="Ethereum"/>
        <s v="USD/CNY Pair"/>
      </sharedItems>
    </cacheField>
    <cacheField name="YieldRate" numFmtId="0">
      <sharedItems containsSemiMixedTypes="0" containsString="0" containsNumber="1" minValue="0.01" maxValue="0.2"/>
    </cacheField>
    <cacheField name="InvestorName" numFmtId="0">
      <sharedItems count="6">
        <s v="Emma Wilson"/>
        <s v="Noah Roberts"/>
        <s v="Olivia Taylor"/>
        <s v="Liam Johnson"/>
        <s v="Sophia Martinez"/>
        <s v="Mason Lee"/>
      </sharedItems>
    </cacheField>
    <cacheField name="EmailAddress" numFmtId="0">
      <sharedItems/>
    </cacheField>
    <cacheField name="Investor_Total Investment" numFmtId="7">
      <sharedItems containsSemiMixedTypes="0" containsString="0" containsNumber="1" containsInteger="1" minValue="80000" maxValue="1660000"/>
    </cacheField>
    <cacheField name="Investor_AverageYieldRate" numFmtId="0">
      <sharedItems containsSemiMixedTypes="0" containsString="0" containsNumber="1" minValue="3.0000000000000002E-2" maxValue="0.11666666666666665"/>
    </cacheField>
    <cacheField name="AssetTypeDiversity" numFmtId="0">
      <sharedItems containsSemiMixedTypes="0" containsString="0" containsNumber="1" containsInteger="1" minValue="2" maxValue="3"/>
    </cacheField>
    <cacheField name="TypeName" numFmtId="0">
      <sharedItems count="8">
        <s v="Stocks"/>
        <s v="Bonds"/>
        <s v="Commodities"/>
        <s v="Forex"/>
        <s v="Savings Accounts"/>
        <s v="Real Estate"/>
        <s v="Mutual Funds"/>
        <s v="Cryptocurrency"/>
      </sharedItems>
    </cacheField>
    <cacheField name="AssetType_AverageYieldRate" numFmtId="0">
      <sharedItems containsSemiMixedTypes="0" containsString="0" containsNumber="1" minValue="0.01" maxValue="0.2"/>
    </cacheField>
    <cacheField name="AssetType_TotalInvestment" numFmtId="0">
      <sharedItems containsSemiMixedTypes="0" containsString="0" containsNumber="1" containsInteger="1" minValue="8000" maxValue="1740000"/>
    </cacheField>
    <cacheField name="Months (InvestDate)" numFmtId="0" databaseField="0">
      <fieldGroup base="4">
        <rangePr groupBy="months" startDate="2017-12-03T00:00:00" endDate="2025-01-16T00:00:00"/>
        <groupItems count="14">
          <s v="&lt;03/12/2017"/>
          <s v="Jan"/>
          <s v="Feb"/>
          <s v="Mar"/>
          <s v="Apr"/>
          <s v="May"/>
          <s v="Jun"/>
          <s v="Jul"/>
          <s v="Aug"/>
          <s v="Sep"/>
          <s v="Oct"/>
          <s v="Nov"/>
          <s v="Dec"/>
          <s v="&gt;16/01/2025"/>
        </groupItems>
      </fieldGroup>
    </cacheField>
    <cacheField name="Quarters (InvestDate)" numFmtId="0" databaseField="0">
      <fieldGroup base="4">
        <rangePr groupBy="quarters" startDate="2017-12-03T00:00:00" endDate="2025-01-16T00:00:00"/>
        <groupItems count="6">
          <s v="&lt;03/12/2017"/>
          <s v="Qtr1"/>
          <s v="Qtr2"/>
          <s v="Qtr3"/>
          <s v="Qtr4"/>
          <s v="&gt;16/01/2025"/>
        </groupItems>
      </fieldGroup>
    </cacheField>
    <cacheField name="Years (InvestDate)" numFmtId="0" databaseField="0">
      <fieldGroup base="4">
        <rangePr groupBy="years" startDate="2017-12-03T00:00:00" endDate="2025-01-16T00:00:00"/>
        <groupItems count="11">
          <s v="&lt;03/12/2017"/>
          <s v="2017"/>
          <s v="2018"/>
          <s v="2019"/>
          <s v="2020"/>
          <s v="2021"/>
          <s v="2022"/>
          <s v="2023"/>
          <s v="2024"/>
          <s v="2025"/>
          <s v="&gt;16/01/2025"/>
        </groupItems>
      </fieldGroup>
    </cacheField>
  </cacheFields>
  <extLst>
    <ext xmlns:x14="http://schemas.microsoft.com/office/spreadsheetml/2009/9/main" uri="{725AE2AE-9491-48be-B2B4-4EB974FC3084}">
      <x14:pivotCacheDefinition pivotCacheId="20272035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n v="1"/>
    <n v="1"/>
    <n v="10000"/>
    <x v="0"/>
    <x v="0"/>
    <n v="0.1"/>
    <x v="0"/>
    <s v="emmawilson@qmul.ac.uk"/>
    <n v="105000"/>
    <n v="5.3333333333333337E-2"/>
    <n v="3"/>
    <x v="0"/>
    <n v="0.10333333333333333"/>
    <n v="178700"/>
  </r>
  <r>
    <n v="2"/>
    <n v="1"/>
    <n v="2"/>
    <n v="15000"/>
    <x v="1"/>
    <x v="1"/>
    <n v="0.02"/>
    <x v="0"/>
    <s v="emmawilson@qmul.ac.uk"/>
    <n v="105000"/>
    <n v="5.3333333333333337E-2"/>
    <n v="3"/>
    <x v="1"/>
    <n v="0.02"/>
    <n v="15000"/>
  </r>
  <r>
    <n v="3"/>
    <n v="1"/>
    <n v="5"/>
    <n v="80000"/>
    <x v="2"/>
    <x v="2"/>
    <n v="0.04"/>
    <x v="0"/>
    <s v="emmawilson@qmul.ac.uk"/>
    <n v="105000"/>
    <n v="5.3333333333333337E-2"/>
    <n v="3"/>
    <x v="2"/>
    <n v="0.05"/>
    <n v="90000"/>
  </r>
  <r>
    <n v="4"/>
    <n v="2"/>
    <n v="7"/>
    <n v="200000"/>
    <x v="3"/>
    <x v="3"/>
    <n v="0.05"/>
    <x v="1"/>
    <s v="noahroberts@qmul.ac.uk"/>
    <n v="700000"/>
    <n v="3.0000000000000002E-2"/>
    <n v="2"/>
    <x v="3"/>
    <n v="0.04"/>
    <n v="260000"/>
  </r>
  <r>
    <n v="5"/>
    <n v="2"/>
    <n v="8"/>
    <n v="500000"/>
    <x v="4"/>
    <x v="4"/>
    <n v="0.01"/>
    <x v="1"/>
    <s v="noahroberts@qmul.ac.uk"/>
    <n v="700000"/>
    <n v="3.0000000000000002E-2"/>
    <n v="2"/>
    <x v="4"/>
    <n v="0.01"/>
    <n v="600000"/>
  </r>
  <r>
    <n v="6"/>
    <n v="3"/>
    <n v="3"/>
    <n v="180000"/>
    <x v="5"/>
    <x v="5"/>
    <n v="0.03"/>
    <x v="2"/>
    <s v="oliviataylor@qmul.ac.uk"/>
    <n v="192000"/>
    <n v="0.06"/>
    <n v="2"/>
    <x v="5"/>
    <n v="5.5E-2"/>
    <n v="1740000"/>
  </r>
  <r>
    <n v="7"/>
    <n v="3"/>
    <n v="1"/>
    <n v="12000"/>
    <x v="6"/>
    <x v="6"/>
    <n v="0.09"/>
    <x v="2"/>
    <s v="oliviataylor@qmul.ac.uk"/>
    <n v="192000"/>
    <n v="0.06"/>
    <n v="2"/>
    <x v="0"/>
    <n v="0.10333333333333333"/>
    <n v="178700"/>
  </r>
  <r>
    <n v="8"/>
    <n v="4"/>
    <n v="4"/>
    <n v="70000"/>
    <x v="7"/>
    <x v="7"/>
    <n v="7.0000000000000007E-2"/>
    <x v="3"/>
    <s v="liamjohnson@qmul.ac.uk"/>
    <n v="80000"/>
    <n v="6.5000000000000002E-2"/>
    <n v="2"/>
    <x v="6"/>
    <n v="7.0000000000000007E-2"/>
    <n v="70000"/>
  </r>
  <r>
    <n v="9"/>
    <n v="4"/>
    <n v="5"/>
    <n v="10000"/>
    <x v="8"/>
    <x v="8"/>
    <n v="0.06"/>
    <x v="3"/>
    <s v="liamjohnson@qmul.ac.uk"/>
    <n v="80000"/>
    <n v="6.5000000000000002E-2"/>
    <n v="2"/>
    <x v="2"/>
    <n v="0.05"/>
    <n v="90000"/>
  </r>
  <r>
    <n v="10"/>
    <n v="5"/>
    <n v="3"/>
    <n v="1560000"/>
    <x v="9"/>
    <x v="9"/>
    <n v="0.08"/>
    <x v="4"/>
    <s v="sophiamartinez@qmul.ac.uk"/>
    <n v="1660000"/>
    <n v="4.4999999999999998E-2"/>
    <n v="2"/>
    <x v="5"/>
    <n v="5.5E-2"/>
    <n v="1740000"/>
  </r>
  <r>
    <n v="11"/>
    <n v="5"/>
    <n v="8"/>
    <n v="100000"/>
    <x v="10"/>
    <x v="10"/>
    <n v="0.01"/>
    <x v="4"/>
    <s v="sophiamartinez@qmul.ac.uk"/>
    <n v="1660000"/>
    <n v="4.4999999999999998E-2"/>
    <n v="2"/>
    <x v="4"/>
    <n v="0.01"/>
    <n v="600000"/>
  </r>
  <r>
    <n v="12"/>
    <n v="6"/>
    <n v="1"/>
    <n v="156700"/>
    <x v="11"/>
    <x v="11"/>
    <n v="0.12"/>
    <x v="5"/>
    <s v="masonlee@qmul.ac.uk"/>
    <n v="224700"/>
    <n v="0.11666666666666665"/>
    <n v="3"/>
    <x v="0"/>
    <n v="0.10333333333333333"/>
    <n v="178700"/>
  </r>
  <r>
    <n v="13"/>
    <n v="6"/>
    <n v="6"/>
    <n v="8000"/>
    <x v="12"/>
    <x v="12"/>
    <n v="0.2"/>
    <x v="5"/>
    <s v="masonlee@qmul.ac.uk"/>
    <n v="224700"/>
    <n v="0.11666666666666665"/>
    <n v="3"/>
    <x v="7"/>
    <n v="0.2"/>
    <n v="8000"/>
  </r>
  <r>
    <n v="14"/>
    <n v="6"/>
    <n v="7"/>
    <n v="60000"/>
    <x v="13"/>
    <x v="13"/>
    <n v="0.03"/>
    <x v="5"/>
    <s v="masonlee@qmul.ac.uk"/>
    <n v="224700"/>
    <n v="0.11666666666666665"/>
    <n v="3"/>
    <x v="3"/>
    <n v="0.04"/>
    <n v="26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945D5B-D07E-4F7A-9C1F-49B1A62C4FFB}" name="PivotTable_AverageYieldRa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3:Y37" firstHeaderRow="1" firstDataRow="2" firstDataCol="1"/>
  <pivotFields count="18">
    <pivotField showAll="0"/>
    <pivotField showAll="0"/>
    <pivotField showAll="0"/>
    <pivotField numFmtId="7" showAll="0"/>
    <pivotField numFmtId="14" showAll="0">
      <items count="15">
        <item x="5"/>
        <item x="9"/>
        <item x="10"/>
        <item x="4"/>
        <item x="1"/>
        <item x="3"/>
        <item x="12"/>
        <item x="0"/>
        <item x="13"/>
        <item x="6"/>
        <item x="2"/>
        <item x="7"/>
        <item x="11"/>
        <item x="8"/>
        <item t="default"/>
      </items>
    </pivotField>
    <pivotField axis="axisRow" showAll="0">
      <items count="15">
        <item x="0"/>
        <item x="8"/>
        <item x="5"/>
        <item x="12"/>
        <item x="3"/>
        <item x="2"/>
        <item x="4"/>
        <item x="6"/>
        <item x="10"/>
        <item x="9"/>
        <item x="11"/>
        <item x="1"/>
        <item x="13"/>
        <item x="7"/>
        <item t="default"/>
      </items>
    </pivotField>
    <pivotField dataField="1" showAll="0"/>
    <pivotField showAll="0">
      <items count="7">
        <item x="0"/>
        <item x="3"/>
        <item x="5"/>
        <item x="1"/>
        <item x="2"/>
        <item x="4"/>
        <item t="default"/>
      </items>
    </pivotField>
    <pivotField showAll="0"/>
    <pivotField numFmtId="7" showAll="0"/>
    <pivotField showAll="0"/>
    <pivotField showAll="0"/>
    <pivotField axis="axisRow" showAll="0">
      <items count="9">
        <item x="1"/>
        <item x="2"/>
        <item x="7"/>
        <item x="3"/>
        <item x="6"/>
        <item x="5"/>
        <item x="4"/>
        <item x="0"/>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12">
        <item sd="0" x="0"/>
        <item sd="0" x="1"/>
        <item sd="0" x="2"/>
        <item sd="0" x="3"/>
        <item sd="0" x="4"/>
        <item sd="0" x="5"/>
        <item sd="0" x="6"/>
        <item sd="0" x="7"/>
        <item sd="0" x="8"/>
        <item sd="0" x="9"/>
        <item sd="0" x="10"/>
        <item t="default"/>
      </items>
    </pivotField>
  </pivotFields>
  <rowFields count="2">
    <field x="12"/>
    <field x="5"/>
  </rowFields>
  <rowItems count="23">
    <i>
      <x/>
    </i>
    <i r="1">
      <x v="11"/>
    </i>
    <i>
      <x v="1"/>
    </i>
    <i r="1">
      <x v="1"/>
    </i>
    <i r="1">
      <x v="5"/>
    </i>
    <i>
      <x v="2"/>
    </i>
    <i r="1">
      <x v="3"/>
    </i>
    <i>
      <x v="3"/>
    </i>
    <i r="1">
      <x v="4"/>
    </i>
    <i r="1">
      <x v="12"/>
    </i>
    <i>
      <x v="4"/>
    </i>
    <i r="1">
      <x v="13"/>
    </i>
    <i>
      <x v="5"/>
    </i>
    <i r="1">
      <x v="2"/>
    </i>
    <i r="1">
      <x v="9"/>
    </i>
    <i>
      <x v="6"/>
    </i>
    <i r="1">
      <x v="6"/>
    </i>
    <i r="1">
      <x v="8"/>
    </i>
    <i>
      <x v="7"/>
    </i>
    <i r="1">
      <x/>
    </i>
    <i r="1">
      <x v="7"/>
    </i>
    <i r="1">
      <x v="10"/>
    </i>
    <i t="grand">
      <x/>
    </i>
  </rowItems>
  <colFields count="1">
    <field x="17"/>
  </colFields>
  <colItems count="9">
    <i>
      <x v="1"/>
    </i>
    <i>
      <x v="2"/>
    </i>
    <i>
      <x v="3"/>
    </i>
    <i>
      <x v="5"/>
    </i>
    <i>
      <x v="6"/>
    </i>
    <i>
      <x v="7"/>
    </i>
    <i>
      <x v="8"/>
    </i>
    <i>
      <x v="9"/>
    </i>
    <i t="grand">
      <x/>
    </i>
  </colItems>
  <dataFields count="1">
    <dataField name="Average of YieldRate" fld="6" subtotal="average" baseField="0" baseItem="0"/>
  </dataFields>
  <formats count="12">
    <format dxfId="23">
      <pivotArea type="all" dataOnly="0" outline="0" fieldPosition="0"/>
    </format>
    <format dxfId="22">
      <pivotArea outline="0" collapsedLevelsAreSubtotals="1" fieldPosition="0"/>
    </format>
    <format dxfId="21">
      <pivotArea type="origin" dataOnly="0" labelOnly="1" outline="0" fieldPosition="0"/>
    </format>
    <format dxfId="20">
      <pivotArea field="17" type="button" dataOnly="0" labelOnly="1" outline="0" axis="axisCol" fieldPosition="0"/>
    </format>
    <format dxfId="19">
      <pivotArea type="topRight" dataOnly="0" labelOnly="1" outline="0" fieldPosition="0"/>
    </format>
    <format dxfId="18">
      <pivotArea field="12" type="button" dataOnly="0" labelOnly="1" outline="0" axis="axisRow" fieldPosition="0"/>
    </format>
    <format dxfId="17">
      <pivotArea dataOnly="0" labelOnly="1" fieldPosition="0">
        <references count="1">
          <reference field="12" count="2">
            <x v="1"/>
            <x v="4"/>
          </reference>
        </references>
      </pivotArea>
    </format>
    <format dxfId="16">
      <pivotArea dataOnly="0" labelOnly="1" grandRow="1" outline="0" fieldPosition="0"/>
    </format>
    <format dxfId="15">
      <pivotArea dataOnly="0" labelOnly="1" fieldPosition="0">
        <references count="2">
          <reference field="5" count="1">
            <x v="1"/>
          </reference>
          <reference field="12" count="1" selected="0">
            <x v="1"/>
          </reference>
        </references>
      </pivotArea>
    </format>
    <format dxfId="14">
      <pivotArea dataOnly="0" labelOnly="1" fieldPosition="0">
        <references count="2">
          <reference field="5" count="1">
            <x v="13"/>
          </reference>
          <reference field="12" count="1" selected="0">
            <x v="4"/>
          </reference>
        </references>
      </pivotArea>
    </format>
    <format dxfId="13">
      <pivotArea dataOnly="0" labelOnly="1" fieldPosition="0">
        <references count="1">
          <reference field="17" count="2">
            <x v="8"/>
            <x v="9"/>
          </reference>
        </references>
      </pivotArea>
    </format>
    <format dxfId="12">
      <pivotArea dataOnly="0" labelOnly="1" grandCol="1" outline="0" fieldPosition="0"/>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0D81DC-4570-438A-86DB-562CD196C2B4}" name="PivotTable_TotalInvest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9:Y63" firstHeaderRow="1" firstDataRow="2" firstDataCol="1"/>
  <pivotFields count="18">
    <pivotField showAll="0"/>
    <pivotField showAll="0"/>
    <pivotField showAll="0"/>
    <pivotField dataField="1" numFmtId="7" showAll="0"/>
    <pivotField numFmtId="14" showAll="0">
      <items count="15">
        <item x="5"/>
        <item x="9"/>
        <item x="10"/>
        <item x="4"/>
        <item x="1"/>
        <item x="3"/>
        <item x="12"/>
        <item x="0"/>
        <item x="13"/>
        <item x="6"/>
        <item x="2"/>
        <item x="7"/>
        <item x="11"/>
        <item x="8"/>
        <item t="default"/>
      </items>
    </pivotField>
    <pivotField axis="axisRow" showAll="0">
      <items count="15">
        <item x="0"/>
        <item x="8"/>
        <item x="5"/>
        <item x="12"/>
        <item x="3"/>
        <item x="2"/>
        <item x="4"/>
        <item x="6"/>
        <item x="10"/>
        <item x="9"/>
        <item x="11"/>
        <item x="1"/>
        <item x="13"/>
        <item x="7"/>
        <item t="default"/>
      </items>
    </pivotField>
    <pivotField showAll="0"/>
    <pivotField showAll="0">
      <items count="7">
        <item x="0"/>
        <item x="3"/>
        <item x="5"/>
        <item x="1"/>
        <item x="2"/>
        <item x="4"/>
        <item t="default"/>
      </items>
    </pivotField>
    <pivotField showAll="0"/>
    <pivotField numFmtId="7" showAll="0"/>
    <pivotField showAll="0"/>
    <pivotField showAll="0"/>
    <pivotField axis="axisRow" showAll="0">
      <items count="9">
        <item x="1"/>
        <item x="2"/>
        <item x="7"/>
        <item x="3"/>
        <item x="6"/>
        <item x="5"/>
        <item x="4"/>
        <item x="0"/>
        <item t="default"/>
      </items>
    </pivotField>
    <pivotField showAll="0"/>
    <pivotField showAll="0"/>
    <pivotField showAll="0" defaultSubtotal="0"/>
    <pivotField showAll="0" defaultSubtotal="0"/>
    <pivotField axis="axisCol" showAll="0" defaultSubtotal="0">
      <items count="11">
        <item x="0"/>
        <item x="1"/>
        <item x="2"/>
        <item x="3"/>
        <item x="4"/>
        <item x="5"/>
        <item x="6"/>
        <item x="7"/>
        <item x="8"/>
        <item x="9"/>
        <item x="10"/>
      </items>
    </pivotField>
  </pivotFields>
  <rowFields count="2">
    <field x="12"/>
    <field x="5"/>
  </rowFields>
  <rowItems count="23">
    <i>
      <x/>
    </i>
    <i r="1">
      <x v="11"/>
    </i>
    <i>
      <x v="1"/>
    </i>
    <i r="1">
      <x v="1"/>
    </i>
    <i r="1">
      <x v="5"/>
    </i>
    <i>
      <x v="2"/>
    </i>
    <i r="1">
      <x v="3"/>
    </i>
    <i>
      <x v="3"/>
    </i>
    <i r="1">
      <x v="4"/>
    </i>
    <i r="1">
      <x v="12"/>
    </i>
    <i>
      <x v="4"/>
    </i>
    <i r="1">
      <x v="13"/>
    </i>
    <i>
      <x v="5"/>
    </i>
    <i r="1">
      <x v="2"/>
    </i>
    <i r="1">
      <x v="9"/>
    </i>
    <i>
      <x v="6"/>
    </i>
    <i r="1">
      <x v="6"/>
    </i>
    <i r="1">
      <x v="8"/>
    </i>
    <i>
      <x v="7"/>
    </i>
    <i r="1">
      <x/>
    </i>
    <i r="1">
      <x v="7"/>
    </i>
    <i r="1">
      <x v="10"/>
    </i>
    <i t="grand">
      <x/>
    </i>
  </rowItems>
  <colFields count="1">
    <field x="17"/>
  </colFields>
  <colItems count="9">
    <i>
      <x v="1"/>
    </i>
    <i>
      <x v="2"/>
    </i>
    <i>
      <x v="3"/>
    </i>
    <i>
      <x v="5"/>
    </i>
    <i>
      <x v="6"/>
    </i>
    <i>
      <x v="7"/>
    </i>
    <i>
      <x v="8"/>
    </i>
    <i>
      <x v="9"/>
    </i>
    <i t="grand">
      <x/>
    </i>
  </colItems>
  <dataFields count="1">
    <dataField name="Sum of InvestmentAmount" fld="3" baseField="0" baseItem="0" numFmtId="7"/>
  </dataFields>
  <formats count="18">
    <format dxfId="41">
      <pivotArea type="all" dataOnly="0" outline="0" fieldPosition="0"/>
    </format>
    <format dxfId="40">
      <pivotArea outline="0" collapsedLevelsAreSubtotals="1" fieldPosition="0"/>
    </format>
    <format dxfId="39">
      <pivotArea type="origin" dataOnly="0" labelOnly="1" outline="0" fieldPosition="0"/>
    </format>
    <format dxfId="38">
      <pivotArea field="17" type="button" dataOnly="0" labelOnly="1" outline="0" axis="axisCol" fieldPosition="0"/>
    </format>
    <format dxfId="37">
      <pivotArea type="topRight" dataOnly="0" labelOnly="1" outline="0" fieldPosition="0"/>
    </format>
    <format dxfId="36">
      <pivotArea field="12" type="button" dataOnly="0" labelOnly="1" outline="0" axis="axisRow" fieldPosition="0"/>
    </format>
    <format dxfId="35">
      <pivotArea dataOnly="0" labelOnly="1" fieldPosition="0">
        <references count="1">
          <reference field="12" count="0"/>
        </references>
      </pivotArea>
    </format>
    <format dxfId="34">
      <pivotArea dataOnly="0" labelOnly="1" grandRow="1" outline="0" fieldPosition="0"/>
    </format>
    <format dxfId="33">
      <pivotArea dataOnly="0" labelOnly="1" fieldPosition="0">
        <references count="2">
          <reference field="5" count="1">
            <x v="11"/>
          </reference>
          <reference field="12" count="1" selected="0">
            <x v="0"/>
          </reference>
        </references>
      </pivotArea>
    </format>
    <format dxfId="32">
      <pivotArea dataOnly="0" labelOnly="1" fieldPosition="0">
        <references count="2">
          <reference field="5" count="2">
            <x v="1"/>
            <x v="5"/>
          </reference>
          <reference field="12" count="1" selected="0">
            <x v="1"/>
          </reference>
        </references>
      </pivotArea>
    </format>
    <format dxfId="31">
      <pivotArea dataOnly="0" labelOnly="1" fieldPosition="0">
        <references count="2">
          <reference field="5" count="1">
            <x v="3"/>
          </reference>
          <reference field="12" count="1" selected="0">
            <x v="2"/>
          </reference>
        </references>
      </pivotArea>
    </format>
    <format dxfId="30">
      <pivotArea dataOnly="0" labelOnly="1" fieldPosition="0">
        <references count="2">
          <reference field="5" count="2">
            <x v="4"/>
            <x v="12"/>
          </reference>
          <reference field="12" count="1" selected="0">
            <x v="3"/>
          </reference>
        </references>
      </pivotArea>
    </format>
    <format dxfId="29">
      <pivotArea dataOnly="0" labelOnly="1" fieldPosition="0">
        <references count="2">
          <reference field="5" count="1">
            <x v="13"/>
          </reference>
          <reference field="12" count="1" selected="0">
            <x v="4"/>
          </reference>
        </references>
      </pivotArea>
    </format>
    <format dxfId="28">
      <pivotArea dataOnly="0" labelOnly="1" fieldPosition="0">
        <references count="2">
          <reference field="5" count="2">
            <x v="2"/>
            <x v="9"/>
          </reference>
          <reference field="12" count="1" selected="0">
            <x v="5"/>
          </reference>
        </references>
      </pivotArea>
    </format>
    <format dxfId="27">
      <pivotArea dataOnly="0" labelOnly="1" fieldPosition="0">
        <references count="2">
          <reference field="5" count="2">
            <x v="6"/>
            <x v="8"/>
          </reference>
          <reference field="12" count="1" selected="0">
            <x v="6"/>
          </reference>
        </references>
      </pivotArea>
    </format>
    <format dxfId="26">
      <pivotArea dataOnly="0" labelOnly="1" fieldPosition="0">
        <references count="2">
          <reference field="5" count="3">
            <x v="0"/>
            <x v="7"/>
            <x v="10"/>
          </reference>
          <reference field="12" count="1" selected="0">
            <x v="7"/>
          </reference>
        </references>
      </pivotArea>
    </format>
    <format dxfId="25">
      <pivotArea dataOnly="0" labelOnly="1" fieldPosition="0">
        <references count="1">
          <reference field="17" count="8">
            <x v="1"/>
            <x v="2"/>
            <x v="3"/>
            <x v="5"/>
            <x v="6"/>
            <x v="7"/>
            <x v="8"/>
            <x v="9"/>
          </reference>
        </references>
      </pivotArea>
    </format>
    <format dxfId="24">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orName" xr10:uid="{D808928D-C067-4196-AF2A-4336CE7ABA9E}" sourceName="InvestorName">
  <pivotTables>
    <pivotTable tabId="165" name="PivotTable_TotalInvestment"/>
    <pivotTable tabId="165" name="PivotTable_AverageYieldRate"/>
  </pivotTables>
  <data>
    <tabular pivotCacheId="2027203506">
      <items count="6">
        <i x="0" s="1"/>
        <i x="3" s="1"/>
        <i x="5"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Name 1" xr10:uid="{5C3E54DA-8D5F-4E7B-9996-D805472C7599}" cache="Slicer_InvestorName" caption="Investor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8.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69A9F-4988-47FA-A53C-FF7A43F23060}">
  <sheetPr codeName="Sheet45"/>
  <dimension ref="A1:E7"/>
  <sheetViews>
    <sheetView workbookViewId="0"/>
  </sheetViews>
  <sheetFormatPr defaultRowHeight="14.5"/>
  <sheetData>
    <row r="1" spans="1:5">
      <c r="A1" t="s">
        <v>9</v>
      </c>
      <c r="B1" t="s">
        <v>10</v>
      </c>
      <c r="C1" t="s">
        <v>18</v>
      </c>
      <c r="D1" t="s">
        <v>55</v>
      </c>
      <c r="E1" t="s">
        <v>56</v>
      </c>
    </row>
    <row r="2" spans="1:5">
      <c r="A2">
        <v>5</v>
      </c>
      <c r="B2" t="s">
        <v>14</v>
      </c>
      <c r="C2" t="s">
        <v>19</v>
      </c>
      <c r="D2" s="1">
        <v>1660000</v>
      </c>
      <c r="E2">
        <v>4.4999999999999998E-2</v>
      </c>
    </row>
    <row r="3" spans="1:5">
      <c r="A3">
        <v>2</v>
      </c>
      <c r="B3" t="s">
        <v>16</v>
      </c>
      <c r="C3" t="s">
        <v>20</v>
      </c>
      <c r="D3" s="1">
        <v>700000</v>
      </c>
      <c r="E3">
        <v>3.0000000000000002E-2</v>
      </c>
    </row>
    <row r="4" spans="1:5">
      <c r="A4">
        <v>6</v>
      </c>
      <c r="B4" t="s">
        <v>12</v>
      </c>
      <c r="C4" t="s">
        <v>21</v>
      </c>
      <c r="D4" s="1">
        <v>224700</v>
      </c>
      <c r="E4">
        <v>0.11666666666666665</v>
      </c>
    </row>
    <row r="5" spans="1:5">
      <c r="A5">
        <v>3</v>
      </c>
      <c r="B5" t="s">
        <v>15</v>
      </c>
      <c r="C5" t="s">
        <v>22</v>
      </c>
      <c r="D5" s="1">
        <v>192000</v>
      </c>
      <c r="E5">
        <v>0.06</v>
      </c>
    </row>
    <row r="6" spans="1:5">
      <c r="A6">
        <v>1</v>
      </c>
      <c r="B6" t="s">
        <v>13</v>
      </c>
      <c r="C6" t="s">
        <v>23</v>
      </c>
      <c r="D6" s="1">
        <v>105000</v>
      </c>
      <c r="E6">
        <v>5.3333333333333337E-2</v>
      </c>
    </row>
    <row r="7" spans="1:5">
      <c r="A7">
        <v>4</v>
      </c>
      <c r="B7" t="s">
        <v>17</v>
      </c>
      <c r="C7" t="s">
        <v>24</v>
      </c>
      <c r="D7" s="1">
        <v>80000</v>
      </c>
      <c r="E7">
        <v>6.5000000000000002E-2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313E6-38B5-4C1D-9F90-1B039D164390}">
  <sheetPr codeName="Sheet44"/>
  <dimension ref="A1:C7"/>
  <sheetViews>
    <sheetView workbookViewId="0"/>
  </sheetViews>
  <sheetFormatPr defaultRowHeight="14.5"/>
  <sheetData>
    <row r="1" spans="1:3">
      <c r="A1" t="s">
        <v>9</v>
      </c>
      <c r="B1" t="s">
        <v>10</v>
      </c>
      <c r="C1" t="s">
        <v>11</v>
      </c>
    </row>
    <row r="2" spans="1:3">
      <c r="A2">
        <v>6</v>
      </c>
      <c r="B2" t="s">
        <v>12</v>
      </c>
      <c r="C2">
        <v>3</v>
      </c>
    </row>
    <row r="3" spans="1:3">
      <c r="A3">
        <v>1</v>
      </c>
      <c r="B3" t="s">
        <v>13</v>
      </c>
      <c r="C3">
        <v>3</v>
      </c>
    </row>
    <row r="4" spans="1:3">
      <c r="A4">
        <v>5</v>
      </c>
      <c r="B4" t="s">
        <v>14</v>
      </c>
      <c r="C4">
        <v>2</v>
      </c>
    </row>
    <row r="5" spans="1:3">
      <c r="A5">
        <v>3</v>
      </c>
      <c r="B5" t="s">
        <v>15</v>
      </c>
      <c r="C5">
        <v>2</v>
      </c>
    </row>
    <row r="6" spans="1:3">
      <c r="A6">
        <v>2</v>
      </c>
      <c r="B6" t="s">
        <v>16</v>
      </c>
      <c r="C6">
        <v>2</v>
      </c>
    </row>
    <row r="7" spans="1:3">
      <c r="A7">
        <v>4</v>
      </c>
      <c r="B7" t="s">
        <v>17</v>
      </c>
      <c r="C7">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0C55-34CE-40A5-8732-853A76233A83}">
  <sheetPr codeName="Sheet43"/>
  <dimension ref="A1:D9"/>
  <sheetViews>
    <sheetView workbookViewId="0"/>
  </sheetViews>
  <sheetFormatPr defaultRowHeight="14.5"/>
  <sheetData>
    <row r="1" spans="1:4">
      <c r="A1" t="s">
        <v>25</v>
      </c>
      <c r="B1" t="s">
        <v>0</v>
      </c>
      <c r="C1" t="s">
        <v>54</v>
      </c>
      <c r="D1" t="s">
        <v>57</v>
      </c>
    </row>
    <row r="2" spans="1:4">
      <c r="A2">
        <v>6</v>
      </c>
      <c r="B2" t="s">
        <v>1</v>
      </c>
      <c r="C2">
        <v>0.2</v>
      </c>
      <c r="D2" s="1">
        <v>8000</v>
      </c>
    </row>
    <row r="3" spans="1:4">
      <c r="A3">
        <v>1</v>
      </c>
      <c r="B3" t="s">
        <v>2</v>
      </c>
      <c r="C3">
        <v>0.10333333333333333</v>
      </c>
      <c r="D3" s="1">
        <v>178700</v>
      </c>
    </row>
    <row r="4" spans="1:4">
      <c r="A4">
        <v>4</v>
      </c>
      <c r="B4" t="s">
        <v>3</v>
      </c>
      <c r="C4">
        <v>7.0000000000000007E-2</v>
      </c>
      <c r="D4" s="1">
        <v>70000</v>
      </c>
    </row>
    <row r="5" spans="1:4">
      <c r="A5">
        <v>3</v>
      </c>
      <c r="B5" t="s">
        <v>4</v>
      </c>
      <c r="C5">
        <v>5.5E-2</v>
      </c>
      <c r="D5" s="1">
        <v>1740000</v>
      </c>
    </row>
    <row r="6" spans="1:4">
      <c r="A6">
        <v>5</v>
      </c>
      <c r="B6" t="s">
        <v>5</v>
      </c>
      <c r="C6">
        <v>0.05</v>
      </c>
      <c r="D6" s="1">
        <v>90000</v>
      </c>
    </row>
    <row r="7" spans="1:4">
      <c r="A7">
        <v>7</v>
      </c>
      <c r="B7" t="s">
        <v>6</v>
      </c>
      <c r="C7">
        <v>0.04</v>
      </c>
      <c r="D7" s="1">
        <v>260000</v>
      </c>
    </row>
    <row r="8" spans="1:4">
      <c r="A8">
        <v>2</v>
      </c>
      <c r="B8" t="s">
        <v>7</v>
      </c>
      <c r="C8">
        <v>0.02</v>
      </c>
      <c r="D8" s="1">
        <v>15000</v>
      </c>
    </row>
    <row r="9" spans="1:4">
      <c r="A9">
        <v>8</v>
      </c>
      <c r="B9" t="s">
        <v>8</v>
      </c>
      <c r="C9">
        <v>0.01</v>
      </c>
      <c r="D9" s="1">
        <v>600000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D7E0F-267F-4708-93EC-4EF33DDA51AE}">
  <sheetPr codeName="Sheet42"/>
  <dimension ref="A1:G15"/>
  <sheetViews>
    <sheetView workbookViewId="0"/>
  </sheetViews>
  <sheetFormatPr defaultRowHeight="14.5"/>
  <sheetData>
    <row r="1" spans="1:7">
      <c r="A1" t="s">
        <v>26</v>
      </c>
      <c r="B1" t="s">
        <v>9</v>
      </c>
      <c r="C1" t="s">
        <v>25</v>
      </c>
      <c r="D1" t="s">
        <v>27</v>
      </c>
      <c r="E1" t="s">
        <v>28</v>
      </c>
      <c r="F1" t="s">
        <v>29</v>
      </c>
      <c r="G1" t="s">
        <v>30</v>
      </c>
    </row>
    <row r="2" spans="1:7">
      <c r="A2">
        <v>1</v>
      </c>
      <c r="B2">
        <v>1</v>
      </c>
      <c r="C2">
        <v>1</v>
      </c>
      <c r="D2" s="1">
        <v>10000</v>
      </c>
      <c r="E2" s="2">
        <v>44941</v>
      </c>
      <c r="F2" t="s">
        <v>31</v>
      </c>
      <c r="G2">
        <v>0.1</v>
      </c>
    </row>
    <row r="3" spans="1:7">
      <c r="A3">
        <v>2</v>
      </c>
      <c r="B3">
        <v>1</v>
      </c>
      <c r="C3">
        <v>2</v>
      </c>
      <c r="D3" s="1">
        <v>15000</v>
      </c>
      <c r="E3" s="2">
        <v>44607</v>
      </c>
      <c r="F3" t="s">
        <v>32</v>
      </c>
      <c r="G3">
        <v>0.02</v>
      </c>
    </row>
    <row r="4" spans="1:7">
      <c r="A4">
        <v>3</v>
      </c>
      <c r="B4">
        <v>1</v>
      </c>
      <c r="C4">
        <v>5</v>
      </c>
      <c r="D4" s="1">
        <v>80000</v>
      </c>
      <c r="E4" s="2">
        <v>45352</v>
      </c>
      <c r="F4" t="s">
        <v>33</v>
      </c>
      <c r="G4">
        <v>0.04</v>
      </c>
    </row>
    <row r="5" spans="1:7">
      <c r="A5">
        <v>4</v>
      </c>
      <c r="B5">
        <v>2</v>
      </c>
      <c r="C5">
        <v>7</v>
      </c>
      <c r="D5" s="1">
        <v>200000</v>
      </c>
      <c r="E5" s="2">
        <v>44623</v>
      </c>
      <c r="F5" t="s">
        <v>34</v>
      </c>
      <c r="G5">
        <v>0.05</v>
      </c>
    </row>
    <row r="6" spans="1:7">
      <c r="A6">
        <v>5</v>
      </c>
      <c r="B6">
        <v>2</v>
      </c>
      <c r="C6">
        <v>8</v>
      </c>
      <c r="D6" s="1">
        <v>500000</v>
      </c>
      <c r="E6" s="2">
        <v>44204</v>
      </c>
      <c r="F6" t="s">
        <v>35</v>
      </c>
      <c r="G6">
        <v>0.01</v>
      </c>
    </row>
    <row r="7" spans="1:7">
      <c r="A7">
        <v>6</v>
      </c>
      <c r="B7">
        <v>3</v>
      </c>
      <c r="C7">
        <v>3</v>
      </c>
      <c r="D7" s="1">
        <v>180000</v>
      </c>
      <c r="E7" s="2">
        <v>43072</v>
      </c>
      <c r="F7" t="s">
        <v>36</v>
      </c>
      <c r="G7">
        <v>0.03</v>
      </c>
    </row>
    <row r="8" spans="1:7">
      <c r="A8">
        <v>7</v>
      </c>
      <c r="B8">
        <v>3</v>
      </c>
      <c r="C8">
        <v>1</v>
      </c>
      <c r="D8" s="1">
        <v>12000</v>
      </c>
      <c r="E8" s="2">
        <v>45293</v>
      </c>
      <c r="F8" t="s">
        <v>37</v>
      </c>
      <c r="G8">
        <v>0.09</v>
      </c>
    </row>
    <row r="9" spans="1:7">
      <c r="A9">
        <v>8</v>
      </c>
      <c r="B9">
        <v>4</v>
      </c>
      <c r="C9">
        <v>4</v>
      </c>
      <c r="D9" s="1">
        <v>70000</v>
      </c>
      <c r="E9" s="2">
        <v>45420</v>
      </c>
      <c r="F9" t="s">
        <v>38</v>
      </c>
      <c r="G9">
        <v>7.0000000000000007E-2</v>
      </c>
    </row>
    <row r="10" spans="1:7">
      <c r="A10">
        <v>9</v>
      </c>
      <c r="B10">
        <v>4</v>
      </c>
      <c r="C10">
        <v>5</v>
      </c>
      <c r="D10" s="1">
        <v>10000</v>
      </c>
      <c r="E10" s="2">
        <v>45672</v>
      </c>
      <c r="F10" t="s">
        <v>39</v>
      </c>
      <c r="G10">
        <v>0.06</v>
      </c>
    </row>
    <row r="11" spans="1:7">
      <c r="A11">
        <v>10</v>
      </c>
      <c r="B11">
        <v>5</v>
      </c>
      <c r="C11">
        <v>3</v>
      </c>
      <c r="D11" s="1">
        <v>1560000</v>
      </c>
      <c r="E11" s="2">
        <v>43163</v>
      </c>
      <c r="F11" t="s">
        <v>40</v>
      </c>
      <c r="G11">
        <v>0.08</v>
      </c>
    </row>
    <row r="12" spans="1:7">
      <c r="A12">
        <v>11</v>
      </c>
      <c r="B12">
        <v>5</v>
      </c>
      <c r="C12">
        <v>8</v>
      </c>
      <c r="D12" s="1">
        <v>100000</v>
      </c>
      <c r="E12" s="2">
        <v>43528</v>
      </c>
      <c r="F12" t="s">
        <v>41</v>
      </c>
      <c r="G12">
        <v>0.01</v>
      </c>
    </row>
    <row r="13" spans="1:7">
      <c r="A13">
        <v>12</v>
      </c>
      <c r="B13">
        <v>6</v>
      </c>
      <c r="C13">
        <v>1</v>
      </c>
      <c r="D13" s="1">
        <v>156700</v>
      </c>
      <c r="E13" s="2">
        <v>45651</v>
      </c>
      <c r="F13" t="s">
        <v>42</v>
      </c>
      <c r="G13">
        <v>0.12</v>
      </c>
    </row>
    <row r="14" spans="1:7">
      <c r="A14">
        <v>13</v>
      </c>
      <c r="B14">
        <v>6</v>
      </c>
      <c r="C14">
        <v>6</v>
      </c>
      <c r="D14" s="1">
        <v>8000</v>
      </c>
      <c r="E14" s="2">
        <v>44719</v>
      </c>
      <c r="F14" t="s">
        <v>43</v>
      </c>
      <c r="G14">
        <v>0.2</v>
      </c>
    </row>
    <row r="15" spans="1:7">
      <c r="A15">
        <v>14</v>
      </c>
      <c r="B15">
        <v>6</v>
      </c>
      <c r="C15">
        <v>7</v>
      </c>
      <c r="D15" s="1">
        <v>60000</v>
      </c>
      <c r="E15" s="2">
        <v>44985</v>
      </c>
      <c r="F15" t="s">
        <v>44</v>
      </c>
      <c r="G15">
        <v>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B627A-7CCB-4765-AEDD-7D714239C504}">
  <sheetPr codeName="Sheet41"/>
  <dimension ref="A1:B9"/>
  <sheetViews>
    <sheetView workbookViewId="0"/>
  </sheetViews>
  <sheetFormatPr defaultRowHeight="14.5"/>
  <sheetData>
    <row r="1" spans="1:2">
      <c r="A1" t="s">
        <v>25</v>
      </c>
      <c r="B1" t="s">
        <v>0</v>
      </c>
    </row>
    <row r="2" spans="1:2">
      <c r="A2">
        <v>1</v>
      </c>
      <c r="B2" t="s">
        <v>2</v>
      </c>
    </row>
    <row r="3" spans="1:2">
      <c r="A3">
        <v>2</v>
      </c>
      <c r="B3" t="s">
        <v>7</v>
      </c>
    </row>
    <row r="4" spans="1:2">
      <c r="A4">
        <v>3</v>
      </c>
      <c r="B4" t="s">
        <v>4</v>
      </c>
    </row>
    <row r="5" spans="1:2">
      <c r="A5">
        <v>4</v>
      </c>
      <c r="B5" t="s">
        <v>3</v>
      </c>
    </row>
    <row r="6" spans="1:2">
      <c r="A6">
        <v>5</v>
      </c>
      <c r="B6" t="s">
        <v>5</v>
      </c>
    </row>
    <row r="7" spans="1:2">
      <c r="A7">
        <v>6</v>
      </c>
      <c r="B7" t="s">
        <v>1</v>
      </c>
    </row>
    <row r="8" spans="1:2">
      <c r="A8">
        <v>7</v>
      </c>
      <c r="B8" t="s">
        <v>6</v>
      </c>
    </row>
    <row r="9" spans="1:2">
      <c r="A9">
        <v>8</v>
      </c>
      <c r="B9" t="s">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7B48D-56B2-45B9-B783-427B8089FC01}">
  <sheetPr codeName="Sheet40"/>
  <dimension ref="A1:C7"/>
  <sheetViews>
    <sheetView workbookViewId="0"/>
  </sheetViews>
  <sheetFormatPr defaultRowHeight="14.5"/>
  <sheetData>
    <row r="1" spans="1:3">
      <c r="A1" t="s">
        <v>9</v>
      </c>
      <c r="B1" t="s">
        <v>10</v>
      </c>
      <c r="C1" t="s">
        <v>18</v>
      </c>
    </row>
    <row r="2" spans="1:3">
      <c r="A2">
        <v>1</v>
      </c>
      <c r="B2" t="s">
        <v>13</v>
      </c>
      <c r="C2" t="s">
        <v>23</v>
      </c>
    </row>
    <row r="3" spans="1:3">
      <c r="A3">
        <v>2</v>
      </c>
      <c r="B3" t="s">
        <v>16</v>
      </c>
      <c r="C3" t="s">
        <v>20</v>
      </c>
    </row>
    <row r="4" spans="1:3">
      <c r="A4">
        <v>3</v>
      </c>
      <c r="B4" t="s">
        <v>15</v>
      </c>
      <c r="C4" t="s">
        <v>22</v>
      </c>
    </row>
    <row r="5" spans="1:3">
      <c r="A5">
        <v>4</v>
      </c>
      <c r="B5" t="s">
        <v>17</v>
      </c>
      <c r="C5" t="s">
        <v>24</v>
      </c>
    </row>
    <row r="6" spans="1:3">
      <c r="A6">
        <v>5</v>
      </c>
      <c r="B6" t="s">
        <v>14</v>
      </c>
      <c r="C6" t="s">
        <v>19</v>
      </c>
    </row>
    <row r="7" spans="1:3">
      <c r="A7">
        <v>6</v>
      </c>
      <c r="B7" t="s">
        <v>12</v>
      </c>
      <c r="C7" t="s">
        <v>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7C631-73A5-4BA9-8253-DD71D6B20AAE}">
  <sheetPr codeName="Sheet3">
    <tabColor theme="4" tint="0.79998168889431442"/>
  </sheetPr>
  <dimension ref="A1:O29"/>
  <sheetViews>
    <sheetView showGridLines="0" zoomScale="64" workbookViewId="0">
      <selection activeCell="O19" sqref="O19"/>
    </sheetView>
  </sheetViews>
  <sheetFormatPr defaultRowHeight="14.5"/>
  <cols>
    <col min="1" max="1" width="9.36328125" style="6" bestFit="1" customWidth="1"/>
    <col min="2" max="2" width="9" style="6" bestFit="1" customWidth="1"/>
    <col min="3" max="3" width="10.81640625" style="6" bestFit="1" customWidth="1"/>
    <col min="4" max="4" width="16.1796875" style="6" bestFit="1" customWidth="1"/>
    <col min="5" max="5" width="10.54296875" style="6" bestFit="1" customWidth="1"/>
    <col min="6" max="6" width="26.90625" style="6" bestFit="1" customWidth="1"/>
    <col min="7" max="7" width="8.453125" style="6" bestFit="1" customWidth="1"/>
    <col min="8" max="8" width="12.54296875" style="6" bestFit="1" customWidth="1"/>
    <col min="9" max="9" width="11.81640625" style="6" bestFit="1" customWidth="1"/>
    <col min="10" max="10" width="22.54296875" style="6" bestFit="1" customWidth="1"/>
    <col min="11" max="11" width="23.26953125" style="6" bestFit="1" customWidth="1"/>
    <col min="12" max="12" width="16.1796875" style="6" bestFit="1" customWidth="1"/>
    <col min="13" max="13" width="24.26953125" style="6" bestFit="1" customWidth="1"/>
    <col min="14" max="14" width="25" style="6" bestFit="1" customWidth="1"/>
    <col min="15" max="15" width="23.90625" style="15" bestFit="1" customWidth="1"/>
    <col min="16" max="16384" width="8.7265625" style="6"/>
  </cols>
  <sheetData>
    <row r="1" spans="1:15" ht="15" thickTop="1">
      <c r="A1" s="7" t="s">
        <v>26</v>
      </c>
      <c r="B1" s="8" t="s">
        <v>9</v>
      </c>
      <c r="C1" s="8" t="s">
        <v>25</v>
      </c>
      <c r="D1" s="8" t="s">
        <v>27</v>
      </c>
      <c r="E1" s="8" t="s">
        <v>28</v>
      </c>
      <c r="F1" s="8" t="s">
        <v>29</v>
      </c>
      <c r="G1" s="8" t="s">
        <v>30</v>
      </c>
      <c r="H1" s="12" t="s">
        <v>10</v>
      </c>
      <c r="I1" s="12" t="s">
        <v>18</v>
      </c>
      <c r="J1" s="9" t="s">
        <v>55</v>
      </c>
      <c r="K1" s="9" t="s">
        <v>56</v>
      </c>
      <c r="L1" s="10" t="s">
        <v>11</v>
      </c>
      <c r="M1" s="11" t="s">
        <v>0</v>
      </c>
      <c r="N1" s="11" t="s">
        <v>54</v>
      </c>
      <c r="O1" s="16" t="s">
        <v>57</v>
      </c>
    </row>
    <row r="2" spans="1:15" customFormat="1">
      <c r="A2">
        <v>1</v>
      </c>
      <c r="B2">
        <v>1</v>
      </c>
      <c r="C2">
        <v>1</v>
      </c>
      <c r="D2" s="1">
        <v>10000</v>
      </c>
      <c r="E2" s="2">
        <v>44941</v>
      </c>
      <c r="F2" t="s">
        <v>31</v>
      </c>
      <c r="G2">
        <v>0.1</v>
      </c>
      <c r="H2" t="s">
        <v>13</v>
      </c>
      <c r="I2" t="s">
        <v>23</v>
      </c>
      <c r="J2" s="1">
        <v>105000</v>
      </c>
      <c r="K2">
        <v>5.3333333333333337E-2</v>
      </c>
      <c r="L2">
        <v>3</v>
      </c>
      <c r="M2" t="s">
        <v>2</v>
      </c>
      <c r="N2">
        <v>0.10333333333333333</v>
      </c>
      <c r="O2" s="1">
        <v>178700</v>
      </c>
    </row>
    <row r="3" spans="1:15" customFormat="1">
      <c r="A3">
        <v>2</v>
      </c>
      <c r="B3">
        <v>1</v>
      </c>
      <c r="C3">
        <v>2</v>
      </c>
      <c r="D3" s="1">
        <v>15000</v>
      </c>
      <c r="E3" s="2">
        <v>44607</v>
      </c>
      <c r="F3" t="s">
        <v>32</v>
      </c>
      <c r="G3">
        <v>0.02</v>
      </c>
      <c r="H3" t="s">
        <v>13</v>
      </c>
      <c r="I3" t="s">
        <v>23</v>
      </c>
      <c r="J3" s="1">
        <v>105000</v>
      </c>
      <c r="K3">
        <v>5.3333333333333337E-2</v>
      </c>
      <c r="L3">
        <v>3</v>
      </c>
      <c r="M3" t="s">
        <v>7</v>
      </c>
      <c r="N3">
        <v>0.02</v>
      </c>
      <c r="O3" s="1">
        <v>15000</v>
      </c>
    </row>
    <row r="4" spans="1:15" customFormat="1">
      <c r="A4">
        <v>3</v>
      </c>
      <c r="B4">
        <v>1</v>
      </c>
      <c r="C4">
        <v>5</v>
      </c>
      <c r="D4" s="1">
        <v>80000</v>
      </c>
      <c r="E4" s="2">
        <v>45352</v>
      </c>
      <c r="F4" t="s">
        <v>33</v>
      </c>
      <c r="G4">
        <v>0.04</v>
      </c>
      <c r="H4" t="s">
        <v>13</v>
      </c>
      <c r="I4" t="s">
        <v>23</v>
      </c>
      <c r="J4" s="1">
        <v>105000</v>
      </c>
      <c r="K4">
        <v>5.3333333333333337E-2</v>
      </c>
      <c r="L4">
        <v>3</v>
      </c>
      <c r="M4" t="s">
        <v>5</v>
      </c>
      <c r="N4">
        <v>0.05</v>
      </c>
      <c r="O4" s="1">
        <v>90000</v>
      </c>
    </row>
    <row r="5" spans="1:15" customFormat="1">
      <c r="A5">
        <v>4</v>
      </c>
      <c r="B5">
        <v>2</v>
      </c>
      <c r="C5">
        <v>7</v>
      </c>
      <c r="D5" s="1">
        <v>200000</v>
      </c>
      <c r="E5" s="2">
        <v>44623</v>
      </c>
      <c r="F5" t="s">
        <v>34</v>
      </c>
      <c r="G5">
        <v>0.05</v>
      </c>
      <c r="H5" t="s">
        <v>16</v>
      </c>
      <c r="I5" t="s">
        <v>20</v>
      </c>
      <c r="J5" s="1">
        <v>700000</v>
      </c>
      <c r="K5">
        <v>3.0000000000000002E-2</v>
      </c>
      <c r="L5">
        <v>2</v>
      </c>
      <c r="M5" t="s">
        <v>6</v>
      </c>
      <c r="N5">
        <v>0.04</v>
      </c>
      <c r="O5" s="1">
        <v>260000</v>
      </c>
    </row>
    <row r="6" spans="1:15" customFormat="1">
      <c r="A6">
        <v>5</v>
      </c>
      <c r="B6">
        <v>2</v>
      </c>
      <c r="C6">
        <v>8</v>
      </c>
      <c r="D6" s="1">
        <v>500000</v>
      </c>
      <c r="E6" s="2">
        <v>44204</v>
      </c>
      <c r="F6" t="s">
        <v>35</v>
      </c>
      <c r="G6">
        <v>0.01</v>
      </c>
      <c r="H6" t="s">
        <v>16</v>
      </c>
      <c r="I6" t="s">
        <v>20</v>
      </c>
      <c r="J6" s="1">
        <v>700000</v>
      </c>
      <c r="K6">
        <v>3.0000000000000002E-2</v>
      </c>
      <c r="L6">
        <v>2</v>
      </c>
      <c r="M6" t="s">
        <v>8</v>
      </c>
      <c r="N6">
        <v>0.01</v>
      </c>
      <c r="O6" s="1">
        <v>600000</v>
      </c>
    </row>
    <row r="7" spans="1:15" customFormat="1">
      <c r="A7">
        <v>6</v>
      </c>
      <c r="B7">
        <v>3</v>
      </c>
      <c r="C7">
        <v>3</v>
      </c>
      <c r="D7" s="1">
        <v>180000</v>
      </c>
      <c r="E7" s="2">
        <v>43072</v>
      </c>
      <c r="F7" t="s">
        <v>36</v>
      </c>
      <c r="G7">
        <v>0.03</v>
      </c>
      <c r="H7" t="s">
        <v>15</v>
      </c>
      <c r="I7" t="s">
        <v>22</v>
      </c>
      <c r="J7" s="1">
        <v>192000</v>
      </c>
      <c r="K7">
        <v>0.06</v>
      </c>
      <c r="L7">
        <v>2</v>
      </c>
      <c r="M7" t="s">
        <v>4</v>
      </c>
      <c r="N7">
        <v>5.5E-2</v>
      </c>
      <c r="O7" s="1">
        <v>1740000</v>
      </c>
    </row>
    <row r="8" spans="1:15" customFormat="1">
      <c r="A8">
        <v>7</v>
      </c>
      <c r="B8">
        <v>3</v>
      </c>
      <c r="C8">
        <v>1</v>
      </c>
      <c r="D8" s="1">
        <v>12000</v>
      </c>
      <c r="E8" s="2">
        <v>45293</v>
      </c>
      <c r="F8" t="s">
        <v>37</v>
      </c>
      <c r="G8">
        <v>0.09</v>
      </c>
      <c r="H8" t="s">
        <v>15</v>
      </c>
      <c r="I8" t="s">
        <v>22</v>
      </c>
      <c r="J8" s="1">
        <v>192000</v>
      </c>
      <c r="K8">
        <v>0.06</v>
      </c>
      <c r="L8">
        <v>2</v>
      </c>
      <c r="M8" t="s">
        <v>2</v>
      </c>
      <c r="N8">
        <v>0.10333333333333333</v>
      </c>
      <c r="O8" s="1">
        <v>178700</v>
      </c>
    </row>
    <row r="9" spans="1:15" customFormat="1">
      <c r="A9">
        <v>8</v>
      </c>
      <c r="B9">
        <v>4</v>
      </c>
      <c r="C9">
        <v>4</v>
      </c>
      <c r="D9" s="1">
        <v>70000</v>
      </c>
      <c r="E9" s="2">
        <v>45420</v>
      </c>
      <c r="F9" t="s">
        <v>38</v>
      </c>
      <c r="G9">
        <v>7.0000000000000007E-2</v>
      </c>
      <c r="H9" t="s">
        <v>17</v>
      </c>
      <c r="I9" t="s">
        <v>24</v>
      </c>
      <c r="J9" s="1">
        <v>80000</v>
      </c>
      <c r="K9">
        <v>6.5000000000000002E-2</v>
      </c>
      <c r="L9">
        <v>2</v>
      </c>
      <c r="M9" t="s">
        <v>3</v>
      </c>
      <c r="N9">
        <v>7.0000000000000007E-2</v>
      </c>
      <c r="O9" s="1">
        <v>70000</v>
      </c>
    </row>
    <row r="10" spans="1:15" customFormat="1">
      <c r="A10">
        <v>9</v>
      </c>
      <c r="B10">
        <v>4</v>
      </c>
      <c r="C10">
        <v>5</v>
      </c>
      <c r="D10" s="1">
        <v>10000</v>
      </c>
      <c r="E10" s="2">
        <v>45672</v>
      </c>
      <c r="F10" t="s">
        <v>39</v>
      </c>
      <c r="G10">
        <v>0.06</v>
      </c>
      <c r="H10" t="s">
        <v>17</v>
      </c>
      <c r="I10" t="s">
        <v>24</v>
      </c>
      <c r="J10" s="1">
        <v>80000</v>
      </c>
      <c r="K10">
        <v>6.5000000000000002E-2</v>
      </c>
      <c r="L10">
        <v>2</v>
      </c>
      <c r="M10" t="s">
        <v>5</v>
      </c>
      <c r="N10">
        <v>0.05</v>
      </c>
      <c r="O10" s="1">
        <v>90000</v>
      </c>
    </row>
    <row r="11" spans="1:15" customFormat="1">
      <c r="A11">
        <v>10</v>
      </c>
      <c r="B11">
        <v>5</v>
      </c>
      <c r="C11">
        <v>3</v>
      </c>
      <c r="D11" s="1">
        <v>1560000</v>
      </c>
      <c r="E11" s="2">
        <v>43163</v>
      </c>
      <c r="F11" t="s">
        <v>40</v>
      </c>
      <c r="G11">
        <v>0.08</v>
      </c>
      <c r="H11" t="s">
        <v>14</v>
      </c>
      <c r="I11" t="s">
        <v>19</v>
      </c>
      <c r="J11" s="1">
        <v>1660000</v>
      </c>
      <c r="K11">
        <v>4.4999999999999998E-2</v>
      </c>
      <c r="L11">
        <v>2</v>
      </c>
      <c r="M11" t="s">
        <v>4</v>
      </c>
      <c r="N11">
        <v>5.5E-2</v>
      </c>
      <c r="O11" s="1">
        <v>1740000</v>
      </c>
    </row>
    <row r="12" spans="1:15" customFormat="1">
      <c r="A12">
        <v>11</v>
      </c>
      <c r="B12">
        <v>5</v>
      </c>
      <c r="C12">
        <v>8</v>
      </c>
      <c r="D12" s="1">
        <v>100000</v>
      </c>
      <c r="E12" s="2">
        <v>43528</v>
      </c>
      <c r="F12" t="s">
        <v>41</v>
      </c>
      <c r="G12">
        <v>0.01</v>
      </c>
      <c r="H12" t="s">
        <v>14</v>
      </c>
      <c r="I12" t="s">
        <v>19</v>
      </c>
      <c r="J12" s="1">
        <v>1660000</v>
      </c>
      <c r="K12">
        <v>4.4999999999999998E-2</v>
      </c>
      <c r="L12">
        <v>2</v>
      </c>
      <c r="M12" t="s">
        <v>8</v>
      </c>
      <c r="N12">
        <v>0.01</v>
      </c>
      <c r="O12" s="1">
        <v>600000</v>
      </c>
    </row>
    <row r="13" spans="1:15" customFormat="1">
      <c r="A13">
        <v>12</v>
      </c>
      <c r="B13">
        <v>6</v>
      </c>
      <c r="C13">
        <v>1</v>
      </c>
      <c r="D13" s="1">
        <v>156700</v>
      </c>
      <c r="E13" s="2">
        <v>45651</v>
      </c>
      <c r="F13" t="s">
        <v>42</v>
      </c>
      <c r="G13">
        <v>0.12</v>
      </c>
      <c r="H13" t="s">
        <v>12</v>
      </c>
      <c r="I13" t="s">
        <v>21</v>
      </c>
      <c r="J13" s="1">
        <v>224700</v>
      </c>
      <c r="K13">
        <v>0.11666666666666665</v>
      </c>
      <c r="L13">
        <v>3</v>
      </c>
      <c r="M13" t="s">
        <v>2</v>
      </c>
      <c r="N13">
        <v>0.10333333333333333</v>
      </c>
      <c r="O13" s="1">
        <v>178700</v>
      </c>
    </row>
    <row r="14" spans="1:15" customFormat="1">
      <c r="A14">
        <v>13</v>
      </c>
      <c r="B14">
        <v>6</v>
      </c>
      <c r="C14">
        <v>6</v>
      </c>
      <c r="D14" s="1">
        <v>8000</v>
      </c>
      <c r="E14" s="2">
        <v>44719</v>
      </c>
      <c r="F14" t="s">
        <v>43</v>
      </c>
      <c r="G14">
        <v>0.2</v>
      </c>
      <c r="H14" t="s">
        <v>12</v>
      </c>
      <c r="I14" t="s">
        <v>21</v>
      </c>
      <c r="J14" s="1">
        <v>224700</v>
      </c>
      <c r="K14">
        <v>0.11666666666666665</v>
      </c>
      <c r="L14">
        <v>3</v>
      </c>
      <c r="M14" t="s">
        <v>1</v>
      </c>
      <c r="N14">
        <v>0.2</v>
      </c>
      <c r="O14" s="1">
        <v>8000</v>
      </c>
    </row>
    <row r="15" spans="1:15" customFormat="1">
      <c r="A15">
        <v>14</v>
      </c>
      <c r="B15">
        <v>6</v>
      </c>
      <c r="C15">
        <v>7</v>
      </c>
      <c r="D15" s="1">
        <v>60000</v>
      </c>
      <c r="E15" s="2">
        <v>44985</v>
      </c>
      <c r="F15" t="s">
        <v>44</v>
      </c>
      <c r="G15">
        <v>0.03</v>
      </c>
      <c r="H15" t="s">
        <v>12</v>
      </c>
      <c r="I15" t="s">
        <v>21</v>
      </c>
      <c r="J15" s="1">
        <v>224700</v>
      </c>
      <c r="K15">
        <v>0.11666666666666665</v>
      </c>
      <c r="L15">
        <v>3</v>
      </c>
      <c r="M15" t="s">
        <v>6</v>
      </c>
      <c r="N15">
        <v>0.04</v>
      </c>
      <c r="O15" s="1">
        <v>260000</v>
      </c>
    </row>
    <row r="16" spans="1:15" customFormat="1">
      <c r="D16" s="1"/>
      <c r="E16" s="2"/>
      <c r="J16" s="1"/>
      <c r="O16" s="1"/>
    </row>
    <row r="17" spans="4:15" customFormat="1">
      <c r="D17" s="1"/>
      <c r="E17" s="2"/>
      <c r="J17" s="1"/>
      <c r="O17" s="1"/>
    </row>
    <row r="18" spans="4:15" customFormat="1">
      <c r="D18" s="1"/>
      <c r="E18" s="2"/>
      <c r="J18" s="1"/>
      <c r="O18" s="1"/>
    </row>
    <row r="19" spans="4:15" customFormat="1">
      <c r="D19" s="1"/>
      <c r="E19" s="2"/>
    </row>
    <row r="20" spans="4:15" customFormat="1">
      <c r="D20" s="1"/>
      <c r="E20" s="2"/>
    </row>
    <row r="21" spans="4:15" customFormat="1">
      <c r="D21" s="1"/>
      <c r="E21" s="2"/>
    </row>
    <row r="22" spans="4:15" customFormat="1">
      <c r="D22" s="1"/>
      <c r="E22" s="2"/>
    </row>
    <row r="23" spans="4:15" customFormat="1">
      <c r="D23" s="1"/>
      <c r="E23" s="2"/>
    </row>
    <row r="24" spans="4:15" customFormat="1">
      <c r="D24" s="1"/>
      <c r="E24" s="2"/>
    </row>
    <row r="25" spans="4:15" customFormat="1">
      <c r="D25" s="1"/>
      <c r="E25" s="2"/>
    </row>
    <row r="26" spans="4:15" customFormat="1">
      <c r="D26" s="1"/>
      <c r="E26" s="2"/>
    </row>
    <row r="27" spans="4:15" customFormat="1">
      <c r="D27" s="1"/>
      <c r="E27" s="2"/>
    </row>
    <row r="28" spans="4:15" customFormat="1">
      <c r="D28" s="1"/>
      <c r="E28" s="2"/>
    </row>
    <row r="29" spans="4:15" customFormat="1">
      <c r="D29" s="1"/>
      <c r="E29" s="2"/>
    </row>
  </sheetData>
  <conditionalFormatting sqref="K2:K15">
    <cfRule type="cellIs" dxfId="3" priority="1" stopIfTrue="1" operator="greaterThan">
      <formula>0.05</formula>
    </cfRule>
  </conditionalFormatting>
  <conditionalFormatting sqref="H2:H15">
    <cfRule type="expression" dxfId="1" priority="2" stopIfTrue="1">
      <formula>$K2&gt;0.05</formula>
    </cfRule>
    <cfRule type="expression" dxfId="0" priority="4" stopIfTrue="1">
      <formula>J2&gt;=PERCENTILE($J$2:$J$15,0.9)</formula>
    </cfRule>
  </conditionalFormatting>
  <conditionalFormatting sqref="J2:J15">
    <cfRule type="expression" dxfId="2" priority="3" stopIfTrue="1">
      <formula>J2&gt;=PERCENTILE($J$2:$J$15,0.9)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ClearSummaryData">
                <anchor moveWithCells="1" sizeWithCells="1">
                  <from>
                    <xdr:col>15</xdr:col>
                    <xdr:colOff>596900</xdr:colOff>
                    <xdr:row>5</xdr:row>
                    <xdr:rowOff>152400</xdr:rowOff>
                  </from>
                  <to>
                    <xdr:col>21</xdr:col>
                    <xdr:colOff>336550</xdr:colOff>
                    <xdr:row>8</xdr:row>
                    <xdr:rowOff>146050</xdr:rowOff>
                  </to>
                </anchor>
              </controlPr>
            </control>
          </mc:Choice>
        </mc:AlternateContent>
        <mc:AlternateContent xmlns:mc="http://schemas.openxmlformats.org/markup-compatibility/2006">
          <mc:Choice Requires="x14">
            <control shapeId="11267" r:id="rId4" name="Button 3">
              <controlPr defaultSize="0" print="0" autoFill="0" autoPict="0" macro="[0]!CopyPortfoliosToMainSheet">
                <anchor moveWithCells="1" sizeWithCells="1">
                  <from>
                    <xdr:col>15</xdr:col>
                    <xdr:colOff>596900</xdr:colOff>
                    <xdr:row>10</xdr:row>
                    <xdr:rowOff>107950</xdr:rowOff>
                  </from>
                  <to>
                    <xdr:col>21</xdr:col>
                    <xdr:colOff>342900</xdr:colOff>
                    <xdr:row>13</xdr:row>
                    <xdr:rowOff>101600</xdr:rowOff>
                  </to>
                </anchor>
              </controlPr>
            </control>
          </mc:Choice>
        </mc:AlternateContent>
        <mc:AlternateContent xmlns:mc="http://schemas.openxmlformats.org/markup-compatibility/2006">
          <mc:Choice Requires="x14">
            <control shapeId="11268" r:id="rId5" name="Button 4">
              <controlPr defaultSize="0" print="0" autoFill="0" autoPict="0" macro="[0]!UpdateSummaryFromInvestorSummary">
                <anchor moveWithCells="1" sizeWithCells="1">
                  <from>
                    <xdr:col>16</xdr:col>
                    <xdr:colOff>0</xdr:colOff>
                    <xdr:row>15</xdr:row>
                    <xdr:rowOff>63500</xdr:rowOff>
                  </from>
                  <to>
                    <xdr:col>21</xdr:col>
                    <xdr:colOff>349250</xdr:colOff>
                    <xdr:row>18</xdr:row>
                    <xdr:rowOff>57150</xdr:rowOff>
                  </to>
                </anchor>
              </controlPr>
            </control>
          </mc:Choice>
        </mc:AlternateContent>
        <mc:AlternateContent xmlns:mc="http://schemas.openxmlformats.org/markup-compatibility/2006">
          <mc:Choice Requires="x14">
            <control shapeId="11270" r:id="rId6" name="Button 6">
              <controlPr defaultSize="0" print="0" autoFill="0" autoPict="0" macro="[0]!UpdateAssetTypeDiversity">
                <anchor moveWithCells="1" sizeWithCells="1">
                  <from>
                    <xdr:col>16</xdr:col>
                    <xdr:colOff>0</xdr:colOff>
                    <xdr:row>20</xdr:row>
                    <xdr:rowOff>12700</xdr:rowOff>
                  </from>
                  <to>
                    <xdr:col>21</xdr:col>
                    <xdr:colOff>336550</xdr:colOff>
                    <xdr:row>23</xdr:row>
                    <xdr:rowOff>6350</xdr:rowOff>
                  </to>
                </anchor>
              </controlPr>
            </control>
          </mc:Choice>
        </mc:AlternateContent>
        <mc:AlternateContent xmlns:mc="http://schemas.openxmlformats.org/markup-compatibility/2006">
          <mc:Choice Requires="x14">
            <control shapeId="11271" r:id="rId7" name="Button 7">
              <controlPr defaultSize="0" print="0" autoFill="0" autoPict="0" macro="[0]!UpdateAssetDetails">
                <anchor moveWithCells="1" sizeWithCells="1">
                  <from>
                    <xdr:col>16</xdr:col>
                    <xdr:colOff>6350</xdr:colOff>
                    <xdr:row>24</xdr:row>
                    <xdr:rowOff>158750</xdr:rowOff>
                  </from>
                  <to>
                    <xdr:col>21</xdr:col>
                    <xdr:colOff>355600</xdr:colOff>
                    <xdr:row>27</xdr:row>
                    <xdr:rowOff>152400</xdr:rowOff>
                  </to>
                </anchor>
              </controlPr>
            </control>
          </mc:Choice>
        </mc:AlternateContent>
        <mc:AlternateContent xmlns:mc="http://schemas.openxmlformats.org/markup-compatibility/2006">
          <mc:Choice Requires="x14">
            <control shapeId="11275" r:id="rId8" name="Button 11">
              <controlPr defaultSize="0" print="0" autoFill="0" autoPict="0" macro="[0]!ImportData">
                <anchor moveWithCells="1" sizeWithCells="1">
                  <from>
                    <xdr:col>15</xdr:col>
                    <xdr:colOff>596900</xdr:colOff>
                    <xdr:row>1</xdr:row>
                    <xdr:rowOff>6350</xdr:rowOff>
                  </from>
                  <to>
                    <xdr:col>21</xdr:col>
                    <xdr:colOff>336550</xdr:colOff>
                    <xdr:row>4</xdr:row>
                    <xdr:rowOff>0</xdr:rowOff>
                  </to>
                </anchor>
              </controlPr>
            </control>
          </mc:Choice>
        </mc:AlternateContent>
        <mc:AlternateContent xmlns:mc="http://schemas.openxmlformats.org/markup-compatibility/2006">
          <mc:Choice Requires="x14">
            <control shapeId="11276" r:id="rId9" name="Button 12">
              <controlPr defaultSize="0" print="0" autoFill="0" autoPict="0" macro="[0]!HighlightHighYieldAndTopInvestors">
                <anchor moveWithCells="1" sizeWithCells="1">
                  <from>
                    <xdr:col>15</xdr:col>
                    <xdr:colOff>596900</xdr:colOff>
                    <xdr:row>29</xdr:row>
                    <xdr:rowOff>114300</xdr:rowOff>
                  </from>
                  <to>
                    <xdr:col>21</xdr:col>
                    <xdr:colOff>336550</xdr:colOff>
                    <xdr:row>32</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BCB56-ED6D-4517-8CF3-5433AE50E791}">
  <sheetPr codeName="Sheet9">
    <tabColor theme="4" tint="0.79998168889431442"/>
  </sheetPr>
  <dimension ref="A1:Y68"/>
  <sheetViews>
    <sheetView showGridLines="0" zoomScale="40" zoomScaleNormal="130" workbookViewId="0">
      <selection activeCell="D17" sqref="D17"/>
    </sheetView>
  </sheetViews>
  <sheetFormatPr defaultRowHeight="14.5"/>
  <cols>
    <col min="1" max="1" width="16.81640625" bestFit="1" customWidth="1"/>
    <col min="2" max="2" width="18.26953125" bestFit="1" customWidth="1"/>
    <col min="3" max="3" width="27.7265625" bestFit="1" customWidth="1"/>
    <col min="4" max="4" width="52.453125" bestFit="1" customWidth="1"/>
    <col min="5" max="5" width="18.08984375" bestFit="1" customWidth="1"/>
    <col min="6" max="6" width="8.7265625" bestFit="1" customWidth="1"/>
    <col min="7" max="7" width="20.54296875" bestFit="1" customWidth="1"/>
    <col min="8" max="8" width="8.7265625" bestFit="1" customWidth="1"/>
    <col min="9" max="9" width="37.1796875" bestFit="1" customWidth="1"/>
    <col min="10" max="10" width="10.54296875" bestFit="1" customWidth="1"/>
    <col min="11" max="12" width="8.7265625" bestFit="1" customWidth="1"/>
    <col min="13" max="13" width="21.90625" bestFit="1" customWidth="1"/>
    <col min="14" max="14" width="52.453125" bestFit="1" customWidth="1"/>
    <col min="15" max="15" width="20.08984375" bestFit="1" customWidth="1"/>
    <col min="16" max="16" width="52.453125" bestFit="1" customWidth="1"/>
    <col min="17" max="17" width="29.453125" bestFit="1" customWidth="1"/>
    <col min="18" max="21" width="8.7265625" bestFit="1" customWidth="1"/>
    <col min="22" max="23" width="10.54296875" bestFit="1" customWidth="1"/>
    <col min="24" max="24" width="8.7265625" bestFit="1" customWidth="1"/>
    <col min="25" max="25" width="21.90625" bestFit="1" customWidth="1"/>
    <col min="26" max="26" width="10.26953125" bestFit="1" customWidth="1"/>
    <col min="27" max="27" width="10.90625" bestFit="1" customWidth="1"/>
    <col min="28" max="28" width="10.26953125" bestFit="1" customWidth="1"/>
    <col min="29" max="29" width="12.453125" bestFit="1" customWidth="1"/>
    <col min="30" max="36" width="10.26953125" bestFit="1" customWidth="1"/>
    <col min="37" max="37" width="27.81640625" bestFit="1" customWidth="1"/>
    <col min="38" max="38" width="22.54296875" bestFit="1" customWidth="1"/>
  </cols>
  <sheetData>
    <row r="1" spans="1:25" s="13" customFormat="1" ht="26.5" thickTop="1">
      <c r="A1" s="20" t="s">
        <v>9</v>
      </c>
      <c r="B1" s="21" t="s">
        <v>25</v>
      </c>
      <c r="C1" s="21" t="s">
        <v>27</v>
      </c>
      <c r="D1" s="21" t="s">
        <v>28</v>
      </c>
      <c r="E1" s="21" t="s">
        <v>29</v>
      </c>
      <c r="F1" s="22" t="s">
        <v>30</v>
      </c>
      <c r="G1" s="23" t="s">
        <v>10</v>
      </c>
      <c r="H1" s="21" t="s">
        <v>18</v>
      </c>
      <c r="I1" s="24" t="s">
        <v>55</v>
      </c>
      <c r="J1" s="24" t="s">
        <v>56</v>
      </c>
      <c r="K1" s="24" t="s">
        <v>11</v>
      </c>
      <c r="L1" s="24" t="s">
        <v>0</v>
      </c>
      <c r="M1" s="24" t="s">
        <v>54</v>
      </c>
      <c r="N1" s="25" t="s">
        <v>57</v>
      </c>
    </row>
    <row r="2" spans="1:25" s="13" customFormat="1" ht="26">
      <c r="A2" s="26">
        <v>4</v>
      </c>
      <c r="B2" s="27">
        <v>4</v>
      </c>
      <c r="C2" s="28">
        <v>70000</v>
      </c>
      <c r="D2" s="29">
        <v>45420</v>
      </c>
      <c r="E2" s="29" t="s">
        <v>38</v>
      </c>
      <c r="F2" s="30">
        <v>7.0000000000000007E-2</v>
      </c>
      <c r="G2" s="31" t="s">
        <v>17</v>
      </c>
      <c r="H2" s="27" t="s">
        <v>24</v>
      </c>
      <c r="I2" s="28">
        <v>80000</v>
      </c>
      <c r="J2" s="67">
        <v>6.5000000000000002E-2</v>
      </c>
      <c r="K2" s="27">
        <v>2</v>
      </c>
      <c r="L2" s="27" t="s">
        <v>3</v>
      </c>
      <c r="M2" s="30">
        <v>7.0000000000000007E-2</v>
      </c>
      <c r="N2" s="32">
        <v>70000</v>
      </c>
    </row>
    <row r="3" spans="1:25" s="13" customFormat="1" ht="26">
      <c r="A3" s="27">
        <v>4</v>
      </c>
      <c r="B3" s="27">
        <v>5</v>
      </c>
      <c r="C3" s="28">
        <v>10000</v>
      </c>
      <c r="D3" s="29">
        <v>45672</v>
      </c>
      <c r="E3" s="29" t="s">
        <v>39</v>
      </c>
      <c r="F3" s="30">
        <v>0.06</v>
      </c>
      <c r="G3" s="31" t="s">
        <v>17</v>
      </c>
      <c r="H3" s="27" t="s">
        <v>24</v>
      </c>
      <c r="I3" s="28">
        <v>80000</v>
      </c>
      <c r="J3" s="67">
        <v>6.5000000000000002E-2</v>
      </c>
      <c r="K3" s="27">
        <v>2</v>
      </c>
      <c r="L3" s="27" t="s">
        <v>5</v>
      </c>
      <c r="M3" s="30">
        <v>0.05</v>
      </c>
      <c r="N3" s="32">
        <v>90000</v>
      </c>
      <c r="Q3" s="51"/>
    </row>
    <row r="4" spans="1:25" s="13" customFormat="1" ht="26">
      <c r="A4" s="27"/>
      <c r="B4" s="27"/>
      <c r="C4" s="28"/>
      <c r="D4" s="29"/>
      <c r="E4" s="27"/>
      <c r="F4" s="30"/>
      <c r="G4" s="31"/>
      <c r="H4" s="27"/>
      <c r="I4" s="28"/>
      <c r="J4" s="30"/>
      <c r="K4" s="27"/>
      <c r="L4" s="27"/>
      <c r="M4" s="30"/>
      <c r="N4" s="32"/>
      <c r="Q4" s="52"/>
    </row>
    <row r="5" spans="1:25" s="13" customFormat="1" ht="26">
      <c r="A5" s="27"/>
      <c r="B5" s="27"/>
      <c r="C5" s="28"/>
      <c r="D5" s="29"/>
      <c r="E5" s="27"/>
      <c r="F5" s="30"/>
      <c r="G5" s="31"/>
      <c r="H5" s="27"/>
      <c r="I5" s="28"/>
      <c r="J5" s="30"/>
      <c r="K5" s="27"/>
      <c r="L5" s="27"/>
      <c r="M5" s="30"/>
      <c r="N5" s="32"/>
      <c r="Q5" s="52"/>
    </row>
    <row r="6" spans="1:25" ht="29.5" customHeight="1">
      <c r="A6" s="53"/>
      <c r="B6" s="53"/>
      <c r="C6" s="53"/>
      <c r="D6" s="53"/>
      <c r="E6" s="53"/>
      <c r="F6" s="54"/>
      <c r="G6" s="55"/>
      <c r="H6" s="53"/>
      <c r="I6" s="53"/>
      <c r="J6" s="54"/>
      <c r="K6" s="53"/>
      <c r="L6" s="53"/>
      <c r="M6" s="54"/>
      <c r="N6" s="56"/>
      <c r="Q6" s="52"/>
    </row>
    <row r="7" spans="1:25">
      <c r="A7" s="53"/>
      <c r="B7" s="53"/>
      <c r="C7" s="53"/>
      <c r="D7" s="53"/>
      <c r="E7" s="53"/>
      <c r="F7" s="54"/>
      <c r="G7" s="53"/>
      <c r="H7" s="53"/>
      <c r="I7" s="53"/>
      <c r="J7" s="54"/>
      <c r="K7" s="53"/>
      <c r="L7" s="53"/>
      <c r="M7" s="53"/>
      <c r="N7" s="56"/>
    </row>
    <row r="8" spans="1:25">
      <c r="A8" s="19"/>
      <c r="B8" s="19"/>
      <c r="C8" s="19"/>
      <c r="D8" s="19"/>
      <c r="E8" s="19"/>
      <c r="F8" s="19"/>
      <c r="G8" s="19"/>
      <c r="H8" s="19"/>
      <c r="I8" s="19"/>
      <c r="J8" s="57"/>
      <c r="K8" s="19"/>
      <c r="L8" s="19"/>
      <c r="M8" s="19"/>
      <c r="N8" s="50"/>
    </row>
    <row r="9" spans="1:25">
      <c r="A9" s="19"/>
      <c r="B9" s="19"/>
      <c r="C9" s="19"/>
      <c r="D9" s="19"/>
      <c r="E9" s="19"/>
      <c r="F9" s="19"/>
      <c r="G9" s="19"/>
      <c r="H9" s="19"/>
      <c r="I9" s="19"/>
      <c r="J9" s="19"/>
      <c r="K9" s="19"/>
      <c r="L9" s="19"/>
      <c r="M9" s="19"/>
      <c r="N9" s="50"/>
    </row>
    <row r="10" spans="1:25">
      <c r="A10" s="19"/>
      <c r="B10" s="19"/>
      <c r="C10" s="19"/>
      <c r="D10" s="19"/>
      <c r="E10" s="19"/>
      <c r="F10" s="19"/>
      <c r="G10" s="19"/>
      <c r="H10" s="19"/>
      <c r="I10" s="19"/>
      <c r="J10" s="19"/>
      <c r="K10" s="19"/>
      <c r="L10" s="19"/>
      <c r="M10" s="19"/>
      <c r="N10" s="19"/>
    </row>
    <row r="11" spans="1:25">
      <c r="A11" s="19"/>
      <c r="B11" s="19"/>
      <c r="C11" s="19"/>
      <c r="D11" s="19"/>
      <c r="E11" s="19"/>
      <c r="F11" s="19"/>
      <c r="G11" s="19"/>
      <c r="H11" s="19"/>
      <c r="I11" s="19"/>
      <c r="J11" s="19"/>
      <c r="K11" s="19"/>
      <c r="L11" s="58"/>
      <c r="M11" s="19"/>
      <c r="N11" s="19"/>
    </row>
    <row r="13" spans="1:25" ht="26">
      <c r="P13" s="33" t="s">
        <v>51</v>
      </c>
      <c r="Q13" s="33" t="s">
        <v>64</v>
      </c>
      <c r="R13" s="13"/>
      <c r="S13" s="13"/>
      <c r="T13" s="13"/>
      <c r="U13" s="13"/>
      <c r="V13" s="13"/>
      <c r="W13" s="13"/>
      <c r="X13" s="13"/>
      <c r="Y13" s="13"/>
    </row>
    <row r="14" spans="1:25" ht="26">
      <c r="P14" s="33" t="s">
        <v>65</v>
      </c>
      <c r="Q14" s="13" t="s">
        <v>61</v>
      </c>
      <c r="R14" s="13" t="s">
        <v>62</v>
      </c>
      <c r="S14" s="13" t="s">
        <v>63</v>
      </c>
      <c r="T14" s="13" t="s">
        <v>60</v>
      </c>
      <c r="U14" s="13" t="s">
        <v>58</v>
      </c>
      <c r="V14" s="13" t="s">
        <v>59</v>
      </c>
      <c r="W14" s="13" t="s">
        <v>52</v>
      </c>
      <c r="X14" s="13" t="s">
        <v>53</v>
      </c>
      <c r="Y14" s="13" t="s">
        <v>66</v>
      </c>
    </row>
    <row r="15" spans="1:25" ht="26">
      <c r="P15" s="18" t="s">
        <v>7</v>
      </c>
      <c r="Q15" s="68"/>
      <c r="R15" s="68"/>
      <c r="S15" s="68"/>
      <c r="T15" s="68"/>
      <c r="U15" s="68">
        <v>0.02</v>
      </c>
      <c r="V15" s="68"/>
      <c r="W15" s="68"/>
      <c r="X15" s="68"/>
      <c r="Y15" s="68">
        <v>0.02</v>
      </c>
    </row>
    <row r="16" spans="1:25" ht="26">
      <c r="P16" s="34" t="s">
        <v>32</v>
      </c>
      <c r="Q16" s="68"/>
      <c r="R16" s="68"/>
      <c r="S16" s="68"/>
      <c r="T16" s="68"/>
      <c r="U16" s="68">
        <v>0.02</v>
      </c>
      <c r="V16" s="68"/>
      <c r="W16" s="68"/>
      <c r="X16" s="68"/>
      <c r="Y16" s="68">
        <v>0.02</v>
      </c>
    </row>
    <row r="17" spans="1:25" ht="26">
      <c r="B17" s="17"/>
      <c r="P17" s="18" t="s">
        <v>5</v>
      </c>
      <c r="Q17" s="68"/>
      <c r="R17" s="68"/>
      <c r="S17" s="68"/>
      <c r="T17" s="68"/>
      <c r="U17" s="68"/>
      <c r="V17" s="68"/>
      <c r="W17" s="68">
        <v>0.04</v>
      </c>
      <c r="X17" s="68">
        <v>0.06</v>
      </c>
      <c r="Y17" s="68">
        <v>0.05</v>
      </c>
    </row>
    <row r="18" spans="1:25" ht="26">
      <c r="A18" s="66"/>
      <c r="B18" s="66"/>
      <c r="C18" s="66"/>
      <c r="P18" s="34" t="s">
        <v>39</v>
      </c>
      <c r="Q18" s="68"/>
      <c r="R18" s="68"/>
      <c r="S18" s="68"/>
      <c r="T18" s="68"/>
      <c r="U18" s="68"/>
      <c r="V18" s="68"/>
      <c r="W18" s="68"/>
      <c r="X18" s="68">
        <v>0.06</v>
      </c>
      <c r="Y18" s="68">
        <v>0.06</v>
      </c>
    </row>
    <row r="19" spans="1:25" ht="26">
      <c r="P19" s="34" t="s">
        <v>33</v>
      </c>
      <c r="Q19" s="68"/>
      <c r="R19" s="68"/>
      <c r="S19" s="68"/>
      <c r="T19" s="68"/>
      <c r="U19" s="68"/>
      <c r="V19" s="68"/>
      <c r="W19" s="68">
        <v>0.04</v>
      </c>
      <c r="X19" s="68"/>
      <c r="Y19" s="68">
        <v>0.04</v>
      </c>
    </row>
    <row r="20" spans="1:25" ht="26">
      <c r="P20" s="18" t="s">
        <v>1</v>
      </c>
      <c r="Q20" s="68"/>
      <c r="R20" s="68"/>
      <c r="S20" s="68"/>
      <c r="T20" s="68"/>
      <c r="U20" s="68">
        <v>0.2</v>
      </c>
      <c r="V20" s="68"/>
      <c r="W20" s="68"/>
      <c r="X20" s="68"/>
      <c r="Y20" s="68">
        <v>0.2</v>
      </c>
    </row>
    <row r="21" spans="1:25" ht="26">
      <c r="P21" s="34" t="s">
        <v>43</v>
      </c>
      <c r="Q21" s="68"/>
      <c r="R21" s="68"/>
      <c r="S21" s="68"/>
      <c r="T21" s="68"/>
      <c r="U21" s="68">
        <v>0.2</v>
      </c>
      <c r="V21" s="68"/>
      <c r="W21" s="68"/>
      <c r="X21" s="68"/>
      <c r="Y21" s="68">
        <v>0.2</v>
      </c>
    </row>
    <row r="22" spans="1:25" ht="26">
      <c r="P22" s="18" t="s">
        <v>6</v>
      </c>
      <c r="Q22" s="68"/>
      <c r="R22" s="68"/>
      <c r="S22" s="68"/>
      <c r="T22" s="68"/>
      <c r="U22" s="68">
        <v>0.05</v>
      </c>
      <c r="V22" s="68">
        <v>0.03</v>
      </c>
      <c r="W22" s="68"/>
      <c r="X22" s="68"/>
      <c r="Y22" s="68">
        <v>0.04</v>
      </c>
    </row>
    <row r="23" spans="1:25" ht="26">
      <c r="P23" s="34" t="s">
        <v>34</v>
      </c>
      <c r="Q23" s="68"/>
      <c r="R23" s="68"/>
      <c r="S23" s="68"/>
      <c r="T23" s="68"/>
      <c r="U23" s="68">
        <v>0.05</v>
      </c>
      <c r="V23" s="68"/>
      <c r="W23" s="68"/>
      <c r="X23" s="68"/>
      <c r="Y23" s="68">
        <v>0.05</v>
      </c>
    </row>
    <row r="24" spans="1:25" ht="26">
      <c r="P24" s="34" t="s">
        <v>44</v>
      </c>
      <c r="Q24" s="68"/>
      <c r="R24" s="68"/>
      <c r="S24" s="68"/>
      <c r="T24" s="68"/>
      <c r="U24" s="68"/>
      <c r="V24" s="68">
        <v>0.03</v>
      </c>
      <c r="W24" s="68"/>
      <c r="X24" s="68"/>
      <c r="Y24" s="68">
        <v>0.03</v>
      </c>
    </row>
    <row r="25" spans="1:25" ht="26">
      <c r="P25" s="18" t="s">
        <v>3</v>
      </c>
      <c r="Q25" s="68"/>
      <c r="R25" s="68"/>
      <c r="S25" s="68"/>
      <c r="T25" s="68"/>
      <c r="U25" s="68"/>
      <c r="V25" s="68"/>
      <c r="W25" s="68">
        <v>7.0000000000000007E-2</v>
      </c>
      <c r="X25" s="68"/>
      <c r="Y25" s="68">
        <v>7.0000000000000007E-2</v>
      </c>
    </row>
    <row r="26" spans="1:25" ht="26">
      <c r="P26" s="34" t="s">
        <v>38</v>
      </c>
      <c r="Q26" s="68"/>
      <c r="R26" s="68"/>
      <c r="S26" s="68"/>
      <c r="T26" s="68"/>
      <c r="U26" s="68"/>
      <c r="V26" s="68"/>
      <c r="W26" s="68">
        <v>7.0000000000000007E-2</v>
      </c>
      <c r="X26" s="68"/>
      <c r="Y26" s="68">
        <v>7.0000000000000007E-2</v>
      </c>
    </row>
    <row r="27" spans="1:25" ht="26">
      <c r="P27" s="18" t="s">
        <v>4</v>
      </c>
      <c r="Q27" s="68">
        <v>0.03</v>
      </c>
      <c r="R27" s="68">
        <v>0.08</v>
      </c>
      <c r="S27" s="68"/>
      <c r="T27" s="68"/>
      <c r="U27" s="68"/>
      <c r="V27" s="68"/>
      <c r="W27" s="68"/>
      <c r="X27" s="68"/>
      <c r="Y27" s="68">
        <v>5.5E-2</v>
      </c>
    </row>
    <row r="28" spans="1:25" ht="26">
      <c r="P28" s="34" t="s">
        <v>36</v>
      </c>
      <c r="Q28" s="68">
        <v>0.03</v>
      </c>
      <c r="R28" s="68"/>
      <c r="S28" s="68"/>
      <c r="T28" s="68"/>
      <c r="U28" s="68"/>
      <c r="V28" s="68"/>
      <c r="W28" s="68"/>
      <c r="X28" s="68"/>
      <c r="Y28" s="68">
        <v>0.03</v>
      </c>
    </row>
    <row r="29" spans="1:25" ht="26">
      <c r="P29" s="34" t="s">
        <v>40</v>
      </c>
      <c r="Q29" s="68"/>
      <c r="R29" s="68">
        <v>0.08</v>
      </c>
      <c r="S29" s="68"/>
      <c r="T29" s="68"/>
      <c r="U29" s="68"/>
      <c r="V29" s="68"/>
      <c r="W29" s="68"/>
      <c r="X29" s="68"/>
      <c r="Y29" s="68">
        <v>0.08</v>
      </c>
    </row>
    <row r="30" spans="1:25" ht="26">
      <c r="P30" s="18" t="s">
        <v>8</v>
      </c>
      <c r="Q30" s="68"/>
      <c r="R30" s="68"/>
      <c r="S30" s="68">
        <v>0.01</v>
      </c>
      <c r="T30" s="68">
        <v>0.01</v>
      </c>
      <c r="U30" s="68"/>
      <c r="V30" s="68"/>
      <c r="W30" s="68"/>
      <c r="X30" s="68"/>
      <c r="Y30" s="68">
        <v>0.01</v>
      </c>
    </row>
    <row r="31" spans="1:25" ht="26">
      <c r="P31" s="34" t="s">
        <v>35</v>
      </c>
      <c r="Q31" s="68"/>
      <c r="R31" s="68"/>
      <c r="S31" s="68"/>
      <c r="T31" s="68">
        <v>0.01</v>
      </c>
      <c r="U31" s="68"/>
      <c r="V31" s="68"/>
      <c r="W31" s="68"/>
      <c r="X31" s="68"/>
      <c r="Y31" s="68">
        <v>0.01</v>
      </c>
    </row>
    <row r="32" spans="1:25" ht="26">
      <c r="P32" s="34" t="s">
        <v>41</v>
      </c>
      <c r="Q32" s="68"/>
      <c r="R32" s="68"/>
      <c r="S32" s="68">
        <v>0.01</v>
      </c>
      <c r="T32" s="68"/>
      <c r="U32" s="68"/>
      <c r="V32" s="68"/>
      <c r="W32" s="68"/>
      <c r="X32" s="68"/>
      <c r="Y32" s="68">
        <v>0.01</v>
      </c>
    </row>
    <row r="33" spans="16:25" ht="26">
      <c r="P33" s="18" t="s">
        <v>2</v>
      </c>
      <c r="Q33" s="68"/>
      <c r="R33" s="68"/>
      <c r="S33" s="68"/>
      <c r="T33" s="68"/>
      <c r="U33" s="68"/>
      <c r="V33" s="68">
        <v>0.1</v>
      </c>
      <c r="W33" s="68">
        <v>0.105</v>
      </c>
      <c r="X33" s="68"/>
      <c r="Y33" s="68">
        <v>0.10333333333333333</v>
      </c>
    </row>
    <row r="34" spans="16:25" ht="26">
      <c r="P34" s="34" t="s">
        <v>31</v>
      </c>
      <c r="Q34" s="68"/>
      <c r="R34" s="68"/>
      <c r="S34" s="68"/>
      <c r="T34" s="68"/>
      <c r="U34" s="68"/>
      <c r="V34" s="68">
        <v>0.1</v>
      </c>
      <c r="W34" s="68"/>
      <c r="X34" s="68"/>
      <c r="Y34" s="68">
        <v>0.1</v>
      </c>
    </row>
    <row r="35" spans="16:25" ht="26">
      <c r="P35" s="34" t="s">
        <v>37</v>
      </c>
      <c r="Q35" s="68"/>
      <c r="R35" s="68"/>
      <c r="S35" s="68"/>
      <c r="T35" s="68"/>
      <c r="U35" s="68"/>
      <c r="V35" s="68"/>
      <c r="W35" s="68">
        <v>0.09</v>
      </c>
      <c r="X35" s="68"/>
      <c r="Y35" s="68">
        <v>0.09</v>
      </c>
    </row>
    <row r="36" spans="16:25" ht="26">
      <c r="P36" s="34" t="s">
        <v>42</v>
      </c>
      <c r="Q36" s="68"/>
      <c r="R36" s="68"/>
      <c r="S36" s="68"/>
      <c r="T36" s="68"/>
      <c r="U36" s="68"/>
      <c r="V36" s="68"/>
      <c r="W36" s="68">
        <v>0.12</v>
      </c>
      <c r="X36" s="68"/>
      <c r="Y36" s="68">
        <v>0.12</v>
      </c>
    </row>
    <row r="37" spans="16:25" ht="26">
      <c r="P37" s="18" t="s">
        <v>66</v>
      </c>
      <c r="Q37" s="68">
        <v>0.03</v>
      </c>
      <c r="R37" s="68">
        <v>0.08</v>
      </c>
      <c r="S37" s="68">
        <v>0.01</v>
      </c>
      <c r="T37" s="68">
        <v>0.01</v>
      </c>
      <c r="U37" s="68">
        <v>9.0000000000000011E-2</v>
      </c>
      <c r="V37" s="68">
        <v>6.5000000000000002E-2</v>
      </c>
      <c r="W37" s="68">
        <v>0.08</v>
      </c>
      <c r="X37" s="68">
        <v>0.06</v>
      </c>
      <c r="Y37" s="68">
        <v>6.4999999999999988E-2</v>
      </c>
    </row>
    <row r="39" spans="16:25" ht="26">
      <c r="P39" s="33" t="s">
        <v>50</v>
      </c>
      <c r="Q39" s="33" t="s">
        <v>64</v>
      </c>
      <c r="R39" s="13"/>
      <c r="S39" s="13"/>
      <c r="T39" s="13"/>
      <c r="U39" s="13"/>
      <c r="V39" s="13"/>
      <c r="W39" s="13"/>
      <c r="X39" s="13"/>
      <c r="Y39" s="13"/>
    </row>
    <row r="40" spans="16:25" ht="26">
      <c r="P40" s="33" t="s">
        <v>65</v>
      </c>
      <c r="Q40" s="13" t="s">
        <v>61</v>
      </c>
      <c r="R40" s="13" t="s">
        <v>62</v>
      </c>
      <c r="S40" s="13" t="s">
        <v>63</v>
      </c>
      <c r="T40" s="13" t="s">
        <v>60</v>
      </c>
      <c r="U40" s="13" t="s">
        <v>58</v>
      </c>
      <c r="V40" s="13" t="s">
        <v>59</v>
      </c>
      <c r="W40" s="13" t="s">
        <v>52</v>
      </c>
      <c r="X40" s="13" t="s">
        <v>53</v>
      </c>
      <c r="Y40" s="13" t="s">
        <v>66</v>
      </c>
    </row>
    <row r="41" spans="16:25" ht="26">
      <c r="P41" s="18" t="s">
        <v>7</v>
      </c>
      <c r="Q41" s="14"/>
      <c r="R41" s="14"/>
      <c r="S41" s="14"/>
      <c r="T41" s="14"/>
      <c r="U41" s="14">
        <v>15000</v>
      </c>
      <c r="V41" s="14"/>
      <c r="W41" s="14"/>
      <c r="X41" s="14"/>
      <c r="Y41" s="14">
        <v>15000</v>
      </c>
    </row>
    <row r="42" spans="16:25" ht="26">
      <c r="P42" s="34" t="s">
        <v>32</v>
      </c>
      <c r="Q42" s="14"/>
      <c r="R42" s="14"/>
      <c r="S42" s="14"/>
      <c r="T42" s="14"/>
      <c r="U42" s="14">
        <v>15000</v>
      </c>
      <c r="V42" s="14"/>
      <c r="W42" s="14"/>
      <c r="X42" s="14"/>
      <c r="Y42" s="14">
        <v>15000</v>
      </c>
    </row>
    <row r="43" spans="16:25" ht="26">
      <c r="P43" s="18" t="s">
        <v>5</v>
      </c>
      <c r="Q43" s="14"/>
      <c r="R43" s="14"/>
      <c r="S43" s="14"/>
      <c r="T43" s="14"/>
      <c r="U43" s="14"/>
      <c r="V43" s="14"/>
      <c r="W43" s="14">
        <v>80000</v>
      </c>
      <c r="X43" s="14">
        <v>10000</v>
      </c>
      <c r="Y43" s="14">
        <v>90000</v>
      </c>
    </row>
    <row r="44" spans="16:25" ht="26">
      <c r="P44" s="34" t="s">
        <v>39</v>
      </c>
      <c r="Q44" s="14"/>
      <c r="R44" s="14"/>
      <c r="S44" s="14"/>
      <c r="T44" s="14"/>
      <c r="U44" s="14"/>
      <c r="V44" s="14"/>
      <c r="W44" s="14"/>
      <c r="X44" s="14">
        <v>10000</v>
      </c>
      <c r="Y44" s="14">
        <v>10000</v>
      </c>
    </row>
    <row r="45" spans="16:25" ht="26">
      <c r="P45" s="34" t="s">
        <v>33</v>
      </c>
      <c r="Q45" s="14"/>
      <c r="R45" s="14"/>
      <c r="S45" s="14"/>
      <c r="T45" s="14"/>
      <c r="U45" s="14"/>
      <c r="V45" s="14"/>
      <c r="W45" s="14">
        <v>80000</v>
      </c>
      <c r="X45" s="14"/>
      <c r="Y45" s="14">
        <v>80000</v>
      </c>
    </row>
    <row r="46" spans="16:25" ht="26">
      <c r="P46" s="18" t="s">
        <v>1</v>
      </c>
      <c r="Q46" s="14"/>
      <c r="R46" s="14"/>
      <c r="S46" s="14"/>
      <c r="T46" s="14"/>
      <c r="U46" s="14">
        <v>8000</v>
      </c>
      <c r="V46" s="14"/>
      <c r="W46" s="14"/>
      <c r="X46" s="14"/>
      <c r="Y46" s="14">
        <v>8000</v>
      </c>
    </row>
    <row r="47" spans="16:25" ht="26">
      <c r="P47" s="34" t="s">
        <v>43</v>
      </c>
      <c r="Q47" s="14"/>
      <c r="R47" s="14"/>
      <c r="S47" s="14"/>
      <c r="T47" s="14"/>
      <c r="U47" s="14">
        <v>8000</v>
      </c>
      <c r="V47" s="14"/>
      <c r="W47" s="14"/>
      <c r="X47" s="14"/>
      <c r="Y47" s="14">
        <v>8000</v>
      </c>
    </row>
    <row r="48" spans="16:25" ht="26">
      <c r="P48" s="18" t="s">
        <v>6</v>
      </c>
      <c r="Q48" s="14"/>
      <c r="R48" s="14"/>
      <c r="S48" s="14"/>
      <c r="T48" s="14"/>
      <c r="U48" s="14">
        <v>200000</v>
      </c>
      <c r="V48" s="14">
        <v>60000</v>
      </c>
      <c r="W48" s="14"/>
      <c r="X48" s="14"/>
      <c r="Y48" s="14">
        <v>260000</v>
      </c>
    </row>
    <row r="49" spans="16:25" ht="26">
      <c r="P49" s="34" t="s">
        <v>34</v>
      </c>
      <c r="Q49" s="14"/>
      <c r="R49" s="14"/>
      <c r="S49" s="14"/>
      <c r="T49" s="14"/>
      <c r="U49" s="14">
        <v>200000</v>
      </c>
      <c r="V49" s="14"/>
      <c r="W49" s="14"/>
      <c r="X49" s="14"/>
      <c r="Y49" s="14">
        <v>200000</v>
      </c>
    </row>
    <row r="50" spans="16:25" ht="26">
      <c r="P50" s="34" t="s">
        <v>44</v>
      </c>
      <c r="Q50" s="14"/>
      <c r="R50" s="14"/>
      <c r="S50" s="14"/>
      <c r="T50" s="14"/>
      <c r="U50" s="14"/>
      <c r="V50" s="14">
        <v>60000</v>
      </c>
      <c r="W50" s="14"/>
      <c r="X50" s="14"/>
      <c r="Y50" s="14">
        <v>60000</v>
      </c>
    </row>
    <row r="51" spans="16:25" ht="26">
      <c r="P51" s="18" t="s">
        <v>3</v>
      </c>
      <c r="Q51" s="14"/>
      <c r="R51" s="14"/>
      <c r="S51" s="14"/>
      <c r="T51" s="14"/>
      <c r="U51" s="14"/>
      <c r="V51" s="14"/>
      <c r="W51" s="14">
        <v>70000</v>
      </c>
      <c r="X51" s="14"/>
      <c r="Y51" s="14">
        <v>70000</v>
      </c>
    </row>
    <row r="52" spans="16:25" ht="26">
      <c r="P52" s="34" t="s">
        <v>38</v>
      </c>
      <c r="Q52" s="14"/>
      <c r="R52" s="14"/>
      <c r="S52" s="14"/>
      <c r="T52" s="14"/>
      <c r="U52" s="14"/>
      <c r="V52" s="14"/>
      <c r="W52" s="14">
        <v>70000</v>
      </c>
      <c r="X52" s="14"/>
      <c r="Y52" s="14">
        <v>70000</v>
      </c>
    </row>
    <row r="53" spans="16:25" ht="26">
      <c r="P53" s="18" t="s">
        <v>4</v>
      </c>
      <c r="Q53" s="14">
        <v>180000</v>
      </c>
      <c r="R53" s="14">
        <v>1560000</v>
      </c>
      <c r="S53" s="14"/>
      <c r="T53" s="14"/>
      <c r="U53" s="14"/>
      <c r="V53" s="14"/>
      <c r="W53" s="14"/>
      <c r="X53" s="14"/>
      <c r="Y53" s="14">
        <v>1740000</v>
      </c>
    </row>
    <row r="54" spans="16:25" ht="26">
      <c r="P54" s="34" t="s">
        <v>36</v>
      </c>
      <c r="Q54" s="14">
        <v>180000</v>
      </c>
      <c r="R54" s="14"/>
      <c r="S54" s="14"/>
      <c r="T54" s="14"/>
      <c r="U54" s="14"/>
      <c r="V54" s="14"/>
      <c r="W54" s="14"/>
      <c r="X54" s="14"/>
      <c r="Y54" s="14">
        <v>180000</v>
      </c>
    </row>
    <row r="55" spans="16:25" ht="26">
      <c r="P55" s="34" t="s">
        <v>40</v>
      </c>
      <c r="Q55" s="14"/>
      <c r="R55" s="14">
        <v>1560000</v>
      </c>
      <c r="S55" s="14"/>
      <c r="T55" s="14"/>
      <c r="U55" s="14"/>
      <c r="V55" s="14"/>
      <c r="W55" s="14"/>
      <c r="X55" s="14"/>
      <c r="Y55" s="14">
        <v>1560000</v>
      </c>
    </row>
    <row r="56" spans="16:25" ht="26">
      <c r="P56" s="18" t="s">
        <v>8</v>
      </c>
      <c r="Q56" s="14"/>
      <c r="R56" s="14"/>
      <c r="S56" s="14">
        <v>100000</v>
      </c>
      <c r="T56" s="14">
        <v>500000</v>
      </c>
      <c r="U56" s="14"/>
      <c r="V56" s="14"/>
      <c r="W56" s="14"/>
      <c r="X56" s="14"/>
      <c r="Y56" s="14">
        <v>600000</v>
      </c>
    </row>
    <row r="57" spans="16:25" ht="26">
      <c r="P57" s="34" t="s">
        <v>35</v>
      </c>
      <c r="Q57" s="14"/>
      <c r="R57" s="14"/>
      <c r="S57" s="14"/>
      <c r="T57" s="14">
        <v>500000</v>
      </c>
      <c r="U57" s="14"/>
      <c r="V57" s="14"/>
      <c r="W57" s="14"/>
      <c r="X57" s="14"/>
      <c r="Y57" s="14">
        <v>500000</v>
      </c>
    </row>
    <row r="58" spans="16:25" ht="26">
      <c r="P58" s="34" t="s">
        <v>41</v>
      </c>
      <c r="Q58" s="14"/>
      <c r="R58" s="14"/>
      <c r="S58" s="14">
        <v>100000</v>
      </c>
      <c r="T58" s="14"/>
      <c r="U58" s="14"/>
      <c r="V58" s="14"/>
      <c r="W58" s="14"/>
      <c r="X58" s="14"/>
      <c r="Y58" s="14">
        <v>100000</v>
      </c>
    </row>
    <row r="59" spans="16:25" ht="26">
      <c r="P59" s="18" t="s">
        <v>2</v>
      </c>
      <c r="Q59" s="14"/>
      <c r="R59" s="14"/>
      <c r="S59" s="14"/>
      <c r="T59" s="14"/>
      <c r="U59" s="14"/>
      <c r="V59" s="14">
        <v>10000</v>
      </c>
      <c r="W59" s="14">
        <v>168700</v>
      </c>
      <c r="X59" s="14"/>
      <c r="Y59" s="14">
        <v>178700</v>
      </c>
    </row>
    <row r="60" spans="16:25" ht="26">
      <c r="P60" s="34" t="s">
        <v>31</v>
      </c>
      <c r="Q60" s="14"/>
      <c r="R60" s="14"/>
      <c r="S60" s="14"/>
      <c r="T60" s="14"/>
      <c r="U60" s="14"/>
      <c r="V60" s="14">
        <v>10000</v>
      </c>
      <c r="W60" s="14"/>
      <c r="X60" s="14"/>
      <c r="Y60" s="14">
        <v>10000</v>
      </c>
    </row>
    <row r="61" spans="16:25" ht="26">
      <c r="P61" s="34" t="s">
        <v>37</v>
      </c>
      <c r="Q61" s="14"/>
      <c r="R61" s="14"/>
      <c r="S61" s="14"/>
      <c r="T61" s="14"/>
      <c r="U61" s="14"/>
      <c r="V61" s="14"/>
      <c r="W61" s="14">
        <v>12000</v>
      </c>
      <c r="X61" s="14"/>
      <c r="Y61" s="14">
        <v>12000</v>
      </c>
    </row>
    <row r="62" spans="16:25" ht="26">
      <c r="P62" s="34" t="s">
        <v>42</v>
      </c>
      <c r="Q62" s="14"/>
      <c r="R62" s="14"/>
      <c r="S62" s="14"/>
      <c r="T62" s="14"/>
      <c r="U62" s="14"/>
      <c r="V62" s="14"/>
      <c r="W62" s="14">
        <v>156700</v>
      </c>
      <c r="X62" s="14"/>
      <c r="Y62" s="14">
        <v>156700</v>
      </c>
    </row>
    <row r="63" spans="16:25" ht="26">
      <c r="P63" s="18" t="s">
        <v>66</v>
      </c>
      <c r="Q63" s="14">
        <v>180000</v>
      </c>
      <c r="R63" s="14">
        <v>1560000</v>
      </c>
      <c r="S63" s="14">
        <v>100000</v>
      </c>
      <c r="T63" s="14">
        <v>500000</v>
      </c>
      <c r="U63" s="14">
        <v>223000</v>
      </c>
      <c r="V63" s="14">
        <v>70000</v>
      </c>
      <c r="W63" s="14">
        <v>318700</v>
      </c>
      <c r="X63" s="14">
        <v>10000</v>
      </c>
      <c r="Y63" s="14">
        <v>2961700</v>
      </c>
    </row>
    <row r="68" spans="14:23" ht="26">
      <c r="N68" s="13"/>
      <c r="O68" s="13"/>
      <c r="P68" s="13"/>
      <c r="Q68" s="13"/>
      <c r="R68" s="13"/>
      <c r="S68" s="13"/>
      <c r="T68" s="13"/>
      <c r="U68" s="13"/>
      <c r="V68" s="13"/>
      <c r="W68" s="13"/>
    </row>
  </sheetData>
  <mergeCells count="1">
    <mergeCell ref="A18:C18"/>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ExportInvestorDetails">
                <anchor moveWithCells="1" sizeWithCells="1">
                  <from>
                    <xdr:col>15</xdr:col>
                    <xdr:colOff>101600</xdr:colOff>
                    <xdr:row>1</xdr:row>
                    <xdr:rowOff>101600</xdr:rowOff>
                  </from>
                  <to>
                    <xdr:col>15</xdr:col>
                    <xdr:colOff>3638550</xdr:colOff>
                    <xdr:row>7</xdr:row>
                    <xdr:rowOff>139700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C52D5-FE3A-429E-AC2A-F9055E14748D}">
  <sheetPr codeName="Sheet20">
    <tabColor theme="4" tint="0.79998168889431442"/>
  </sheetPr>
  <dimension ref="A1:K24"/>
  <sheetViews>
    <sheetView showGridLines="0" tabSelected="1" workbookViewId="0">
      <selection activeCell="J4" sqref="J4"/>
    </sheetView>
  </sheetViews>
  <sheetFormatPr defaultRowHeight="14.5"/>
  <cols>
    <col min="1" max="1" width="9.36328125" style="4" bestFit="1" customWidth="1"/>
    <col min="2" max="2" width="12.90625" style="3" customWidth="1"/>
    <col min="3" max="3" width="22.26953125" style="3" bestFit="1" customWidth="1"/>
    <col min="4" max="4" width="11.08984375" style="4" bestFit="1" customWidth="1"/>
    <col min="5" max="5" width="17" style="5" bestFit="1" customWidth="1"/>
    <col min="6" max="6" width="10.08984375" style="2" bestFit="1" customWidth="1"/>
    <col min="7" max="7" width="23.6328125" style="3" bestFit="1" customWidth="1"/>
    <col min="8" max="8" width="8.90625" style="65" bestFit="1" customWidth="1"/>
  </cols>
  <sheetData>
    <row r="1" spans="1:11">
      <c r="A1" s="35" t="s">
        <v>9</v>
      </c>
      <c r="B1" s="36" t="s">
        <v>10</v>
      </c>
      <c r="C1" s="37" t="s">
        <v>18</v>
      </c>
      <c r="D1" s="35" t="s">
        <v>25</v>
      </c>
      <c r="E1" s="38" t="s">
        <v>27</v>
      </c>
      <c r="F1" s="39" t="s">
        <v>28</v>
      </c>
      <c r="G1" s="36" t="s">
        <v>29</v>
      </c>
      <c r="H1" s="62" t="s">
        <v>30</v>
      </c>
    </row>
    <row r="2" spans="1:11">
      <c r="A2" s="40">
        <v>6</v>
      </c>
      <c r="B2" s="49" t="s">
        <v>12</v>
      </c>
      <c r="C2" s="49" t="s">
        <v>21</v>
      </c>
      <c r="D2" s="40">
        <v>8</v>
      </c>
      <c r="E2" s="41">
        <v>95000</v>
      </c>
      <c r="F2" s="42">
        <v>45292</v>
      </c>
      <c r="G2" s="49" t="s">
        <v>46</v>
      </c>
      <c r="H2" s="63">
        <v>0.01</v>
      </c>
    </row>
    <row r="3" spans="1:11">
      <c r="A3" s="43">
        <v>7</v>
      </c>
      <c r="B3" s="59" t="s">
        <v>47</v>
      </c>
      <c r="C3" s="59" t="s">
        <v>48</v>
      </c>
      <c r="D3" s="43">
        <v>2</v>
      </c>
      <c r="E3" s="44">
        <v>60000</v>
      </c>
      <c r="F3" s="45">
        <v>45366</v>
      </c>
      <c r="G3" s="59" t="s">
        <v>45</v>
      </c>
      <c r="H3" s="46">
        <v>0.03</v>
      </c>
    </row>
    <row r="4" spans="1:11">
      <c r="A4" s="48">
        <v>8</v>
      </c>
      <c r="B4" s="49" t="s">
        <v>68</v>
      </c>
      <c r="C4" s="49" t="s">
        <v>67</v>
      </c>
      <c r="D4" s="48">
        <v>3</v>
      </c>
      <c r="E4" s="50">
        <v>45000</v>
      </c>
      <c r="F4" s="47">
        <v>45652</v>
      </c>
      <c r="G4" s="49" t="s">
        <v>49</v>
      </c>
      <c r="H4" s="61">
        <v>0.06</v>
      </c>
    </row>
    <row r="5" spans="1:11">
      <c r="A5" s="48"/>
      <c r="B5" s="49"/>
      <c r="C5" s="49"/>
      <c r="D5" s="48"/>
      <c r="E5" s="50"/>
      <c r="F5" s="19"/>
      <c r="G5" s="49"/>
      <c r="H5" s="61"/>
      <c r="I5" s="60">
        <v>1</v>
      </c>
      <c r="K5" t="s">
        <v>69</v>
      </c>
    </row>
    <row r="6" spans="1:11">
      <c r="A6" s="48"/>
      <c r="B6" s="49"/>
      <c r="C6" s="49"/>
      <c r="D6" s="48"/>
      <c r="E6" s="50"/>
      <c r="F6" s="19"/>
      <c r="G6" s="49"/>
      <c r="H6" s="61"/>
      <c r="I6" s="60">
        <v>2</v>
      </c>
      <c r="K6" t="s">
        <v>7</v>
      </c>
    </row>
    <row r="7" spans="1:11">
      <c r="A7" s="48"/>
      <c r="B7" s="49"/>
      <c r="C7" s="49"/>
      <c r="D7" s="48"/>
      <c r="E7" s="50"/>
      <c r="F7" s="19"/>
      <c r="G7" s="49"/>
      <c r="H7" s="61"/>
      <c r="I7" s="60">
        <v>3</v>
      </c>
      <c r="K7" t="s">
        <v>70</v>
      </c>
    </row>
    <row r="8" spans="1:11">
      <c r="A8" s="48"/>
      <c r="B8" s="49"/>
      <c r="C8" s="49"/>
      <c r="D8" s="48"/>
      <c r="E8" s="50"/>
      <c r="F8" s="19"/>
      <c r="G8" s="49"/>
      <c r="H8" s="61"/>
      <c r="I8" s="60">
        <v>4</v>
      </c>
      <c r="K8" t="s">
        <v>71</v>
      </c>
    </row>
    <row r="9" spans="1:11">
      <c r="A9" s="48"/>
      <c r="B9" s="49"/>
      <c r="C9" s="49"/>
      <c r="D9" s="48"/>
      <c r="E9" s="50"/>
      <c r="F9" s="19"/>
      <c r="G9" s="49"/>
      <c r="H9" s="61"/>
      <c r="I9" s="60">
        <v>5</v>
      </c>
      <c r="K9" t="s">
        <v>5</v>
      </c>
    </row>
    <row r="10" spans="1:11">
      <c r="A10" s="48"/>
      <c r="B10" s="49"/>
      <c r="C10" s="49"/>
      <c r="D10" s="48"/>
      <c r="E10" s="50"/>
      <c r="F10" s="19"/>
      <c r="G10" s="49"/>
      <c r="H10" s="61"/>
      <c r="I10" s="60">
        <v>6</v>
      </c>
      <c r="K10" t="s">
        <v>1</v>
      </c>
    </row>
    <row r="11" spans="1:11">
      <c r="A11" s="48"/>
      <c r="B11" s="49"/>
      <c r="C11" s="49"/>
      <c r="D11" s="48"/>
      <c r="E11" s="50"/>
      <c r="F11" s="19"/>
      <c r="G11" s="49"/>
      <c r="H11" s="61"/>
      <c r="I11" s="60">
        <v>7</v>
      </c>
      <c r="K11" t="s">
        <v>6</v>
      </c>
    </row>
    <row r="12" spans="1:11">
      <c r="A12" s="48"/>
      <c r="B12" s="49"/>
      <c r="C12" s="49"/>
      <c r="D12" s="48"/>
      <c r="E12" s="50"/>
      <c r="F12" s="19"/>
      <c r="G12" s="49"/>
      <c r="H12" s="61"/>
      <c r="I12" s="60">
        <v>8</v>
      </c>
      <c r="K12" t="s">
        <v>8</v>
      </c>
    </row>
    <row r="13" spans="1:11">
      <c r="A13" s="48"/>
      <c r="B13" s="49"/>
      <c r="C13" s="49"/>
      <c r="D13" s="48"/>
      <c r="E13" s="50"/>
      <c r="F13" s="19"/>
      <c r="G13" s="49"/>
      <c r="H13" s="61"/>
    </row>
    <row r="14" spans="1:11">
      <c r="A14" s="48"/>
      <c r="B14" s="49"/>
      <c r="C14" s="49"/>
      <c r="D14" s="48"/>
      <c r="E14" s="50"/>
      <c r="F14" s="19"/>
      <c r="G14" s="49"/>
      <c r="H14" s="61"/>
    </row>
    <row r="15" spans="1:11">
      <c r="A15" s="48"/>
      <c r="B15" s="49"/>
      <c r="C15" s="49"/>
      <c r="D15" s="48"/>
      <c r="E15" s="50"/>
      <c r="F15" s="19"/>
      <c r="G15" s="49"/>
      <c r="H15" s="61"/>
    </row>
    <row r="16" spans="1:11">
      <c r="A16" s="48"/>
      <c r="B16" s="49"/>
      <c r="C16" s="49"/>
      <c r="D16" s="48"/>
      <c r="E16" s="50"/>
      <c r="F16" s="47"/>
      <c r="G16" s="49"/>
      <c r="H16" s="64"/>
    </row>
    <row r="17" spans="1:8">
      <c r="A17" s="48"/>
      <c r="B17" s="49"/>
      <c r="C17" s="49"/>
      <c r="D17" s="48"/>
      <c r="E17" s="50"/>
      <c r="F17" s="47"/>
      <c r="G17" s="49"/>
      <c r="H17" s="64"/>
    </row>
    <row r="18" spans="1:8">
      <c r="A18" s="48"/>
      <c r="B18" s="49"/>
      <c r="C18" s="49"/>
      <c r="D18" s="48"/>
      <c r="E18" s="50"/>
      <c r="F18" s="47"/>
      <c r="G18" s="49"/>
      <c r="H18" s="64"/>
    </row>
    <row r="19" spans="1:8">
      <c r="A19" s="48"/>
      <c r="B19" s="49"/>
      <c r="C19" s="49"/>
      <c r="D19" s="48"/>
      <c r="E19" s="50"/>
      <c r="F19" s="47"/>
      <c r="G19" s="49"/>
      <c r="H19" s="64"/>
    </row>
    <row r="20" spans="1:8">
      <c r="A20" s="48"/>
      <c r="B20" s="49"/>
      <c r="C20" s="49"/>
      <c r="D20" s="48"/>
      <c r="E20" s="50"/>
      <c r="F20" s="47"/>
      <c r="G20" s="49"/>
      <c r="H20" s="64"/>
    </row>
    <row r="21" spans="1:8">
      <c r="A21" s="48"/>
      <c r="B21" s="49"/>
      <c r="C21" s="49"/>
      <c r="D21" s="48"/>
      <c r="E21" s="50"/>
      <c r="F21" s="47"/>
      <c r="G21" s="49"/>
      <c r="H21" s="64"/>
    </row>
    <row r="22" spans="1:8">
      <c r="A22" s="48"/>
      <c r="B22" s="49"/>
      <c r="C22" s="49"/>
      <c r="D22" s="48"/>
      <c r="E22" s="50"/>
      <c r="F22" s="47"/>
      <c r="G22" s="49"/>
      <c r="H22" s="64"/>
    </row>
    <row r="23" spans="1:8">
      <c r="A23" s="48"/>
      <c r="B23" s="49"/>
      <c r="C23" s="49"/>
      <c r="D23" s="48"/>
      <c r="E23" s="50"/>
      <c r="F23" s="47"/>
      <c r="G23" s="49"/>
      <c r="H23" s="64"/>
    </row>
    <row r="24" spans="1:8">
      <c r="A24" s="48"/>
      <c r="B24" s="49"/>
      <c r="C24" s="49"/>
      <c r="D24" s="48"/>
      <c r="E24" s="50"/>
      <c r="F24" s="47"/>
      <c r="G24" s="49"/>
      <c r="H24" s="64"/>
    </row>
  </sheetData>
  <phoneticPr fontId="16" type="noConversion"/>
  <dataValidations count="7">
    <dataValidation type="decimal" operator="greaterThan" allowBlank="1" showInputMessage="1" showErrorMessage="1" sqref="E1:E1048576" xr:uid="{BFCEFF7D-8995-4A2B-8FB4-FD0E04D81263}">
      <formula1>0</formula1>
    </dataValidation>
    <dataValidation type="custom" operator="greaterThan" allowBlank="1" showInputMessage="1" showErrorMessage="1" sqref="F1:F1048576" xr:uid="{298FF5CA-1C02-4D78-AABE-AFC846CD1E85}">
      <formula1>AND(ISNUMBER(F1), TEXT(F1, "dd/mm/yyyy")=TEXT(F1, "m/d/yyyy"))</formula1>
    </dataValidation>
    <dataValidation type="decimal" operator="lessThan" allowBlank="1" showInputMessage="1" showErrorMessage="1" sqref="H1:H1048576" xr:uid="{33635B50-6AE9-49DA-BE5F-E50A4DB9483B}">
      <formula1>1</formula1>
    </dataValidation>
    <dataValidation type="whole" operator="greaterThan" allowBlank="1" showInputMessage="1" showErrorMessage="1" sqref="A1:A1048576" xr:uid="{021BDACD-9670-4FB9-9EBE-84CC37800BC4}">
      <formula1>0</formula1>
    </dataValidation>
    <dataValidation type="textLength" operator="greaterThan" allowBlank="1" showInputMessage="1" showErrorMessage="1" sqref="B1:B1048576 G1:G1048576" xr:uid="{30F207FE-9547-4E40-9D7F-C4F6C941F7AD}">
      <formula1>0</formula1>
    </dataValidation>
    <dataValidation type="list" allowBlank="1" showInputMessage="1" showErrorMessage="1" sqref="D1:D1048576" xr:uid="{0F019C55-6BEB-49B7-AD2A-2782C6FD333C}">
      <formula1>$I$5:$I$12</formula1>
    </dataValidation>
    <dataValidation type="custom" allowBlank="1" showInputMessage="1" showErrorMessage="1" sqref="C1:C1048576" xr:uid="{2F644305-4A81-4EB1-8EA7-C29F9B68F779}">
      <formula1>AND(ISNUMBER(SEARCH("@", C1)), ISNUMBER(SEARCH(".", C1)), NOT(ISNUMBER(SEARCH(" ", C1))), LEN(C1)&gt;5)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UpdateAccessWithNewData">
                <anchor moveWithCells="1" sizeWithCells="1">
                  <from>
                    <xdr:col>8</xdr:col>
                    <xdr:colOff>165100</xdr:colOff>
                    <xdr:row>1</xdr:row>
                    <xdr:rowOff>50800</xdr:rowOff>
                  </from>
                  <to>
                    <xdr:col>11</xdr:col>
                    <xdr:colOff>165100</xdr:colOff>
                    <xdr:row>3</xdr:row>
                    <xdr:rowOff>31750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InvestorSummary</vt:lpstr>
      <vt:lpstr>InvestorAssetDiversity</vt:lpstr>
      <vt:lpstr>AssetSummary</vt:lpstr>
      <vt:lpstr>Portfolios</vt:lpstr>
      <vt:lpstr>AssetTypes</vt:lpstr>
      <vt:lpstr>Investors</vt:lpstr>
      <vt:lpstr>InvestDataSummary</vt:lpstr>
      <vt:lpstr>InvestorDetails</vt:lpstr>
      <vt:lpstr>NewInvestments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Chang Liu</dc:creator>
  <cp:lastModifiedBy>Chang Liu</cp:lastModifiedBy>
  <dcterms:created xsi:type="dcterms:W3CDTF">2025-01-17T01:05:25Z</dcterms:created>
  <dcterms:modified xsi:type="dcterms:W3CDTF">2025-01-19T04:53:35Z</dcterms:modified>
</cp:coreProperties>
</file>